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егенда" sheetId="1" state="visible" r:id="rId3"/>
    <sheet name="Журнал простоев" sheetId="2" state="visible" r:id="rId4"/>
    <sheet name="Простои Дашборд" sheetId="3" state="visible" r:id="rId5"/>
    <sheet name="Журнал электро" sheetId="4" state="visible" r:id="rId6"/>
    <sheet name="Электро Дашборд" sheetId="5" state="visible" r:id="rId7"/>
    <sheet name="Уставки конфигурация" sheetId="6" state="visible" r:id="rId8"/>
    <sheet name="Журнал уставок" sheetId="7" state="visible" r:id="rId9"/>
    <sheet name="Уставки Дашборд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<sst xmlns="http://schemas.openxmlformats.org/spreadsheetml/2006/main" count="244" uniqueCount="113">
  <si>
    <t xml:space="preserve">Цветовые обозначения в этом файле</t>
  </si>
  <si>
    <t xml:space="preserve">Синий текст, жёлтая заливка</t>
  </si>
  <si>
    <t xml:space="preserve">Параметр, который нужно проверить и поменять — это МОЁ предположение/ориентир, не из вашей системы</t>
  </si>
  <si>
    <t xml:space="preserve">Синий текст без заливки</t>
  </si>
  <si>
    <t xml:space="preserve">Тестовые/демонстрационные данные — нужно заменить на реальную выгрузку из СКАДА</t>
  </si>
  <si>
    <t xml:space="preserve">Зелёный текст</t>
  </si>
  <si>
    <t xml:space="preserve">Реальные данные или формулы, которые я нашёл непосредственно в вашем файле конфигурации (.dpl)</t>
  </si>
  <si>
    <t xml:space="preserve">Чёрный текст</t>
  </si>
  <si>
    <t xml:space="preserve">Формула расчёта внутри файла</t>
  </si>
  <si>
    <t xml:space="preserve">Красная заливка ячейки</t>
  </si>
  <si>
    <t xml:space="preserve">Автоматическая подсветка отклонения/тревоги по условию</t>
  </si>
  <si>
    <t xml:space="preserve">Важно: где в этом файле я что-то предположил сам</t>
  </si>
  <si>
    <t xml:space="preserve">• Порог дисбаланса токов 5% (лист 'Электро Дашборд', ячейка C3) — общий инженерный ориентир, не значение из вашей системы. Уточните фактическую уставку у электрика/начальника АСУ ТП.</t>
  </si>
  <si>
    <t xml:space="preserve">• Пороги отклонения дебита (-10%) и роста обводнённости (5 п.п.) в предыдущих дашбордах по добыче — тоже мои ориентиры для демонстрации, не нормативы вашей компании.</t>
  </si>
  <si>
    <t xml:space="preserve">• Коды причин остановки (1-5) и их расшифровка — пример для структуры, реальные коды нужно уточнить в документации на контроллер.</t>
  </si>
  <si>
    <t xml:space="preserve">• Уставки по LOAD_MAX_ALARM_VALUE, LOAD_MIN_ALARM_VALUE, SSK_ALARM_VALUE, SSK_WARNING_VALUE на листе 'Уставки конфигурация' — это РЕАЛЬНЫЕ значения из вашего файла (секция DpValue), не предположение.</t>
  </si>
  <si>
    <t xml:space="preserve">• Логика срабатывания уставок (когда именно тревога считается активной) — тоже взята из реальной секции DpFunction вашего файла, а не придумана.</t>
  </si>
  <si>
    <t xml:space="preserve">• Пороги TIT/PIT (датчики температуры/давления) — в файле есть только сами флаги тревог и тексты сообщений, но НЕ нашёл числовых уставок для них в выгрузке. Это нужно уточнить отдельно.</t>
  </si>
  <si>
    <t xml:space="preserve">Журнал остановок скважин (источник: PRICHINA_STOP, DTL_TIME_IN_STOP)</t>
  </si>
  <si>
    <t xml:space="preserve">Справочник кодов причин — ПРИМЕР для структуры, не из файла (уточнить реальные коды!)</t>
  </si>
  <si>
    <t xml:space="preserve">Код</t>
  </si>
  <si>
    <t xml:space="preserve">Причина</t>
  </si>
  <si>
    <t xml:space="preserve">Выкл. питания</t>
  </si>
  <si>
    <t xml:space="preserve">Авария по нагрузке</t>
  </si>
  <si>
    <t xml:space="preserve">Парафиноотложение</t>
  </si>
  <si>
    <t xml:space="preserve">Плановый ремонт (ПРС)</t>
  </si>
  <si>
    <t xml:space="preserve">Авария ТМС</t>
  </si>
  <si>
    <t xml:space="preserve">Скважина</t>
  </si>
  <si>
    <t xml:space="preserve">Дата остановки</t>
  </si>
  <si>
    <t xml:space="preserve">Код причины</t>
  </si>
  <si>
    <t xml:space="preserve">Причина (расшифровка)</t>
  </si>
  <si>
    <t xml:space="preserve">Длительность простоя, час</t>
  </si>
  <si>
    <t xml:space="preserve">СХ-23</t>
  </si>
  <si>
    <t xml:space="preserve">07.06.2026</t>
  </si>
  <si>
    <t xml:space="preserve">СХ-30</t>
  </si>
  <si>
    <t xml:space="preserve">04.06.2026</t>
  </si>
  <si>
    <t xml:space="preserve">14.06.2026</t>
  </si>
  <si>
    <t xml:space="preserve">16.06.2026</t>
  </si>
  <si>
    <t xml:space="preserve">СХ-15</t>
  </si>
  <si>
    <t xml:space="preserve">10.06.2026</t>
  </si>
  <si>
    <t xml:space="preserve">13.06.2026</t>
  </si>
  <si>
    <t xml:space="preserve">СХ-16</t>
  </si>
  <si>
    <t xml:space="preserve">01.06.2026</t>
  </si>
  <si>
    <t xml:space="preserve">СХ-29</t>
  </si>
  <si>
    <t xml:space="preserve">Дашборд: простои и причины остановок</t>
  </si>
  <si>
    <t xml:space="preserve">Период анализа (для справки)</t>
  </si>
  <si>
    <t xml:space="preserve">01.06.2026 - 16.06.2026</t>
  </si>
  <si>
    <t xml:space="preserve">Сводка по скважинам</t>
  </si>
  <si>
    <t xml:space="preserve">Кол-во остановок</t>
  </si>
  <si>
    <t xml:space="preserve">Суммарный простой, час</t>
  </si>
  <si>
    <t xml:space="preserve">Средняя длительность, час</t>
  </si>
  <si>
    <t xml:space="preserve">Доля времени в простое за период, %</t>
  </si>
  <si>
    <t xml:space="preserve">Парето-анализ причин остановок</t>
  </si>
  <si>
    <t xml:space="preserve">Суммарно, час</t>
  </si>
  <si>
    <t xml:space="preserve">Доля, %</t>
  </si>
  <si>
    <t xml:space="preserve">Накопленная доля, %</t>
  </si>
  <si>
    <t xml:space="preserve">Журнал электрических параметров (ACTIVE_POWER, DISBALANCE_AMP)</t>
  </si>
  <si>
    <t xml:space="preserve">Порог дисбаланса для подсветки берётся с листа 'Электро Дашборд', ячейка C3</t>
  </si>
  <si>
    <t xml:space="preserve">Дата</t>
  </si>
  <si>
    <t xml:space="preserve">Активная мощность, кВт</t>
  </si>
  <si>
    <t xml:space="preserve">Дисбаланс токов, %</t>
  </si>
  <si>
    <t xml:space="preserve">Дебит нефти за дату, т/сут</t>
  </si>
  <si>
    <t xml:space="preserve">Удельная мощность, кВт/т</t>
  </si>
  <si>
    <t xml:space="preserve">Статус</t>
  </si>
  <si>
    <t xml:space="preserve">Дашборд: электрические параметры и энергоэффективность</t>
  </si>
  <si>
    <t xml:space="preserve">Порог дисбаланса токов для тревоги, % (МОЙ ОРИЕНТИР — общий инженерный норматив, не из вашей системы — проверьте и при необходимости измените только эту ячейку)</t>
  </si>
  <si>
    <t xml:space="preserve">Рейтинг скважин по удельному энергопотреблению</t>
  </si>
  <si>
    <t xml:space="preserve">Средняя мощность, кВт</t>
  </si>
  <si>
    <t xml:space="preserve">Средний дебит нефти, т/сут</t>
  </si>
  <si>
    <t xml:space="preserve">Макс. дисбаланс токов, %</t>
  </si>
  <si>
    <t xml:space="preserve">Тренд дисбаланса токов по датам</t>
  </si>
  <si>
    <t xml:space="preserve">Аварийные уставки — данные из вашего файла конфигурации (.dpl)</t>
  </si>
  <si>
    <t xml:space="preserve">Зелёным — реальные значения и формулы, найденные в секциях DpValue и DpFunction вашего файла (скважина sh-26)</t>
  </si>
  <si>
    <t xml:space="preserve">Параметр (тег)</t>
  </si>
  <si>
    <t xml:space="preserve">Значение уставки</t>
  </si>
  <si>
    <t xml:space="preserve">Логика срабатывания (из DpFunction)</t>
  </si>
  <si>
    <t xml:space="preserve">Источник в файле</t>
  </si>
  <si>
    <t xml:space="preserve">LOAD_MAX_ALARM_VALUE</t>
  </si>
  <si>
    <t xml:space="preserve">Тревога, если ROD_LOAD (нагрузка на штоке) &gt; уставки</t>
  </si>
  <si>
    <t xml:space="preserve">DpValue / DpFunction (p1&lt;p2, p1=уставка, p2=ROD_LOAD)</t>
  </si>
  <si>
    <t xml:space="preserve">LOAD_MIN_ALARM_VALUE</t>
  </si>
  <si>
    <t xml:space="preserve">Тревога, если ROD_LOAD &lt; уставки</t>
  </si>
  <si>
    <t xml:space="preserve">DpValue / DpFunction (p1&gt;p2, p1=уставка, p2=ROD_LOAD)</t>
  </si>
  <si>
    <t xml:space="preserve">SSK_ALARM_VALUE</t>
  </si>
  <si>
    <t xml:space="preserve">Тревога, если STATE_SSK (состояние ССК) &gt; уставки</t>
  </si>
  <si>
    <t xml:space="preserve">DpValue / DpFunction (p1&lt;p2, p1=уставка, p2=STATE_SSK)</t>
  </si>
  <si>
    <t xml:space="preserve">SSK_WARNING_VALUE</t>
  </si>
  <si>
    <t xml:space="preserve">Предупреждение, если STATE_SSK &gt; уставки (ниже порога аварии)</t>
  </si>
  <si>
    <t xml:space="preserve">Не найдено в файле — нужно уточнить отдельно:</t>
  </si>
  <si>
    <t xml:space="preserve">Числовые уставки для TIT_HH/TIT_H/TIT_L/TIT_LL (температура) и PIT_HH/PIT_H/PIT_L/PIT_LL (давление) — в файле есть только флаги тревог и тексты сообщений, без DpFunction-логики и значений.</t>
  </si>
  <si>
    <t xml:space="preserve">Журнал срабатываний аварийных уставок</t>
  </si>
  <si>
    <t xml:space="preserve">ТЕСТОВЫЕ данные для демонстрации — замените на реальную историю срабатываний из архива СКАДА</t>
  </si>
  <si>
    <t xml:space="preserve">Тип уставки</t>
  </si>
  <si>
    <t xml:space="preserve">Фактическое значение параметра</t>
  </si>
  <si>
    <t xml:space="preserve">Уставка</t>
  </si>
  <si>
    <t xml:space="preserve">Сработало</t>
  </si>
  <si>
    <t xml:space="preserve">03.06.2026</t>
  </si>
  <si>
    <t xml:space="preserve">LOAD_MAX_ALARM</t>
  </si>
  <si>
    <t xml:space="preserve">09.06.2026</t>
  </si>
  <si>
    <t xml:space="preserve">05.06.2026</t>
  </si>
  <si>
    <t xml:space="preserve">LOAD_MIN_ALARM</t>
  </si>
  <si>
    <t xml:space="preserve">11.06.2026</t>
  </si>
  <si>
    <t xml:space="preserve">08.06.2026</t>
  </si>
  <si>
    <t xml:space="preserve">SSK_ALARM</t>
  </si>
  <si>
    <t xml:space="preserve">12.06.2026</t>
  </si>
  <si>
    <t xml:space="preserve">SSK_WARNING</t>
  </si>
  <si>
    <t xml:space="preserve">02.06.2026</t>
  </si>
  <si>
    <t xml:space="preserve">06.06.2026</t>
  </si>
  <si>
    <t xml:space="preserve">15.06.2026</t>
  </si>
  <si>
    <t xml:space="preserve">Дашборд: частота срабатывания аварийных уставок</t>
  </si>
  <si>
    <t xml:space="preserve">Срабатывания по скважинам</t>
  </si>
  <si>
    <t xml:space="preserve">Кол-во срабатываний</t>
  </si>
  <si>
    <t xml:space="preserve">Срабатывания по типу уставки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</si>
</sst>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C0504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10"/>
      <color rgb="FF008000"/>
      <name val="Arial"/>
      <family val="0"/>
      <charset val="1"/>
    </font>
    <font>
      <sz val="9"/>
      <color rgb="FF66666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CE4E4"/>
      </patternFill>
    </fill>
    <fill>
      <patternFill patternType="solid">
        <fgColor rgb="FFE2EFDA"/>
        <bgColor rgb="FFFFF2CC"/>
      </patternFill>
    </fill>
    <fill>
      <patternFill patternType="solid">
        <fgColor rgb="FFFCE4E4"/>
        <bgColor rgb="FFFFF2CC"/>
      </patternFill>
    </fill>
    <fill>
      <patternFill patternType="solid">
        <fgColor rgb="FFD9D9D9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CE4E4"/>
        </patternFill>
      </fill>
    </dxf>
  </dxfs>
  <colors>
    <indexedColors>
      <rgbColor rgb="FF000000"/>
      <rgbColor rgb="FFFCE4E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0C0C0"/>
      <rgbColor rgb="FF878787"/>
      <rgbColor rgb="FF9999FF"/>
      <rgbColor rgb="FFBE4B48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A7EBB"/>
      <rgbColor rgb="FF46AAC4"/>
      <rgbColor rgb="FF98B855"/>
      <rgbColor rgb="FFFFCC00"/>
      <rgbColor rgb="FFFF9900"/>
      <rgbColor rgb="FFFF6600"/>
      <rgbColor rgb="FF7D5FA0"/>
      <rgbColor rgb="FF969696"/>
      <rgbColor rgb="FF003366"/>
      <rgbColor rgb="FF4F81BD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Суммарный простой по скважинам, час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'Простои Дашборд'!C7</c:f>
              <c:strCache>
                <c:ptCount val="1"/>
                <c:pt idx="0">
                  <c:v>Суммарный простой, час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'Простои Дашборд'!$A$8:$A$12</c:f>
              <c:strCache>
                <c:ptCount val="5"/>
                <c:pt idx="0">
                  <c:v>СХ-23</c:v>
                </c:pt>
                <c:pt idx="1">
                  <c:v>СХ-30</c:v>
                </c:pt>
                <c:pt idx="2">
                  <c:v>СХ-15</c:v>
                </c:pt>
                <c:pt idx="3">
                  <c:v>СХ-16</c:v>
                </c:pt>
                <c:pt idx="4">
                  <c:v>СХ-29</c:v>
                </c:pt>
              </c:strCache>
            </c:strRef>
          </c:cat>
          <c:val>
            <c:numRef>
              <c:f>'Простои Дашборд'!$C$8:$C$12</c:f>
              <c:numCache>
                <c:formatCode>0.0</c:formatCode>
                <c:ptCount val="5"/>
                <c:pt idx="0">
                  <c:v>1</c:v>
                </c:pt>
                <c:pt idx="1">
                  <c:v>15</c:v>
                </c:pt>
                <c:pt idx="2">
                  <c:v>18</c:v>
                </c:pt>
                <c:pt idx="3">
                  <c:v>1</c:v>
                </c:pt>
                <c:pt idx="4">
                  <c:v>23</c:v>
                </c:pt>
              </c:numCache>
            </c:numRef>
          </c:val>
        </c:ser>
        <c:gapWidth val="150"/>
        <c:overlap val="0"/>
        <c:axId val="7518892"/>
        <c:axId val="64383320"/>
      </c:barChart>
      <c:catAx>
        <c:axId val="75188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383320"/>
        <c:crosses val="autoZero"/>
        <c:auto val="1"/>
        <c:lblAlgn val="ctr"/>
        <c:lblOffset val="100"/>
        <c:noMultiLvlLbl val="0"/>
      </c:catAx>
      <c:valAx>
        <c:axId val="643833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188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Простои по причинам, час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'Простои Дашборд'!B16</c:f>
              <c:strCache>
                <c:ptCount val="1"/>
                <c:pt idx="0">
                  <c:v>Суммарно, час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'Простои Дашборд'!$A$17:$A$21</c:f>
              <c:strCache>
                <c:ptCount val="5"/>
                <c:pt idx="0">
                  <c:v>Выкл. питания</c:v>
                </c:pt>
                <c:pt idx="1">
                  <c:v>Авария по нагрузке</c:v>
                </c:pt>
                <c:pt idx="2">
                  <c:v>Парафиноотложение</c:v>
                </c:pt>
                <c:pt idx="3">
                  <c:v>Плановый ремонт (ПРС)</c:v>
                </c:pt>
                <c:pt idx="4">
                  <c:v>Авария ТМС</c:v>
                </c:pt>
              </c:strCache>
            </c:strRef>
          </c:cat>
          <c:val>
            <c:numRef>
              <c:f>'Простои Дашборд'!$B$17:$B$21</c:f>
              <c:numCache>
                <c:formatCode>0.0</c:formatCode>
                <c:ptCount val="5"/>
                <c:pt idx="0">
                  <c:v>2</c:v>
                </c:pt>
                <c:pt idx="1">
                  <c:v>11</c:v>
                </c:pt>
                <c:pt idx="2">
                  <c:v>7</c:v>
                </c:pt>
                <c:pt idx="3">
                  <c:v>20</c:v>
                </c:pt>
                <c:pt idx="4">
                  <c:v>18</c:v>
                </c:pt>
              </c:numCache>
            </c:numRef>
          </c:val>
        </c:ser>
        <c:gapWidth val="150"/>
        <c:overlap val="0"/>
        <c:axId val="63205151"/>
        <c:axId val="20505451"/>
      </c:barChart>
      <c:catAx>
        <c:axId val="632051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505451"/>
        <c:crosses val="autoZero"/>
        <c:auto val="1"/>
        <c:lblAlgn val="ctr"/>
        <c:lblOffset val="100"/>
        <c:noMultiLvlLbl val="0"/>
      </c:catAx>
      <c:valAx>
        <c:axId val="205054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2051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Накопленная доля простоев,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'Простои Дашборд'!D16</c:f>
              <c:strCache>
                <c:ptCount val="1"/>
                <c:pt idx="0">
                  <c:v>Накопленная доля, %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'Простои Дашборд'!$A$17:$A$21</c:f>
              <c:strCache>
                <c:ptCount val="5"/>
                <c:pt idx="0">
                  <c:v>Выкл. питания</c:v>
                </c:pt>
                <c:pt idx="1">
                  <c:v>Авария по нагрузке</c:v>
                </c:pt>
                <c:pt idx="2">
                  <c:v>Парафиноотложение</c:v>
                </c:pt>
                <c:pt idx="3">
                  <c:v>Плановый ремонт (ПРС)</c:v>
                </c:pt>
                <c:pt idx="4">
                  <c:v>Авария ТМС</c:v>
                </c:pt>
              </c:strCache>
            </c:strRef>
          </c:cat>
          <c:val>
            <c:numRef>
              <c:f>'Простои Дашборд'!$D$17:$D$21</c:f>
              <c:numCache>
                <c:formatCode>0.0</c:formatCode>
                <c:ptCount val="5"/>
                <c:pt idx="0">
                  <c:v>100</c:v>
                </c:pt>
                <c:pt idx="1">
                  <c:v>84.4827586206897</c:v>
                </c:pt>
                <c:pt idx="2">
                  <c:v>96.551724137931</c:v>
                </c:pt>
                <c:pt idx="3">
                  <c:v>34.4827586206897</c:v>
                </c:pt>
                <c:pt idx="4">
                  <c:v>65.5172413793104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3926143"/>
        <c:axId val="42148089"/>
      </c:lineChart>
      <c:catAx>
        <c:axId val="2392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148089"/>
        <c:crosses val="autoZero"/>
        <c:auto val="1"/>
        <c:lblAlgn val="ctr"/>
        <c:lblOffset val="100"/>
        <c:noMultiLvlLbl val="0"/>
      </c:catAx>
      <c:valAx>
        <c:axId val="421480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9261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Дисбаланс токов по скважинам,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'Электро Дашборд'!B14</c:f>
              <c:strCache>
                <c:ptCount val="1"/>
                <c:pt idx="0">
                  <c:v>СХ-23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'Электро Дашборд'!$A$15:$A$20</c:f>
              <c:strCache>
                <c:ptCount val="6"/>
                <c:pt idx="0">
                  <c:v>01.06.2026</c:v>
                </c:pt>
                <c:pt idx="1">
                  <c:v>04.06.2026</c:v>
                </c:pt>
                <c:pt idx="2">
                  <c:v>07.06.2026</c:v>
                </c:pt>
                <c:pt idx="3">
                  <c:v>10.06.2026</c:v>
                </c:pt>
                <c:pt idx="4">
                  <c:v>13.06.2026</c:v>
                </c:pt>
                <c:pt idx="5">
                  <c:v>16.06.2026</c:v>
                </c:pt>
              </c:strCache>
            </c:strRef>
          </c:cat>
          <c:val>
            <c:numRef>
              <c:f>'Электро Дашборд'!$B$15:$B$20</c:f>
              <c:numCache>
                <c:formatCode>0.0</c:formatCode>
                <c:ptCount val="6"/>
                <c:pt idx="0">
                  <c:v>1.2</c:v>
                </c:pt>
                <c:pt idx="1">
                  <c:v>1.3</c:v>
                </c:pt>
                <c:pt idx="2">
                  <c:v>1.1</c:v>
                </c:pt>
                <c:pt idx="3">
                  <c:v>1.4</c:v>
                </c:pt>
                <c:pt idx="4">
                  <c:v>1.2</c:v>
                </c:pt>
                <c:pt idx="5">
                  <c:v>1.3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'Электро Дашборд'!C14</c:f>
              <c:strCache>
                <c:ptCount val="1"/>
                <c:pt idx="0">
                  <c:v>СХ-30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'Электро Дашборд'!$A$15:$A$20</c:f>
              <c:strCache>
                <c:ptCount val="6"/>
                <c:pt idx="0">
                  <c:v>01.06.2026</c:v>
                </c:pt>
                <c:pt idx="1">
                  <c:v>04.06.2026</c:v>
                </c:pt>
                <c:pt idx="2">
                  <c:v>07.06.2026</c:v>
                </c:pt>
                <c:pt idx="3">
                  <c:v>10.06.2026</c:v>
                </c:pt>
                <c:pt idx="4">
                  <c:v>13.06.2026</c:v>
                </c:pt>
                <c:pt idx="5">
                  <c:v>16.06.2026</c:v>
                </c:pt>
              </c:strCache>
            </c:strRef>
          </c:cat>
          <c:val>
            <c:numRef>
              <c:f>'Электро Дашборд'!$C$15:$C$20</c:f>
              <c:numCache>
                <c:formatCode>0.0</c:formatCode>
                <c:ptCount val="6"/>
                <c:pt idx="0">
                  <c:v>1.5</c:v>
                </c:pt>
                <c:pt idx="1">
                  <c:v>2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'Электро Дашборд'!D14</c:f>
              <c:strCache>
                <c:ptCount val="1"/>
                <c:pt idx="0">
                  <c:v>СХ-15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'Электро Дашборд'!$A$15:$A$20</c:f>
              <c:strCache>
                <c:ptCount val="6"/>
                <c:pt idx="0">
                  <c:v>01.06.2026</c:v>
                </c:pt>
                <c:pt idx="1">
                  <c:v>04.06.2026</c:v>
                </c:pt>
                <c:pt idx="2">
                  <c:v>07.06.2026</c:v>
                </c:pt>
                <c:pt idx="3">
                  <c:v>10.06.2026</c:v>
                </c:pt>
                <c:pt idx="4">
                  <c:v>13.06.2026</c:v>
                </c:pt>
                <c:pt idx="5">
                  <c:v>16.06.2026</c:v>
                </c:pt>
              </c:strCache>
            </c:strRef>
          </c:cat>
          <c:val>
            <c:numRef>
              <c:f>'Электро Дашборд'!$D$15:$D$20</c:f>
              <c:numCache>
                <c:formatCode>0.0</c:formatCode>
                <c:ptCount val="6"/>
                <c:pt idx="0">
                  <c:v>1</c:v>
                </c:pt>
                <c:pt idx="1">
                  <c:v>1.1</c:v>
                </c:pt>
                <c:pt idx="2">
                  <c:v>1</c:v>
                </c:pt>
                <c:pt idx="3">
                  <c:v>1.2</c:v>
                </c:pt>
                <c:pt idx="4">
                  <c:v>1.1</c:v>
                </c:pt>
                <c:pt idx="5">
                  <c:v>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'Электро Дашборд'!E14</c:f>
              <c:strCache>
                <c:ptCount val="1"/>
                <c:pt idx="0">
                  <c:v>СХ-16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'Электро Дашборд'!$A$15:$A$20</c:f>
              <c:strCache>
                <c:ptCount val="6"/>
                <c:pt idx="0">
                  <c:v>01.06.2026</c:v>
                </c:pt>
                <c:pt idx="1">
                  <c:v>04.06.2026</c:v>
                </c:pt>
                <c:pt idx="2">
                  <c:v>07.06.2026</c:v>
                </c:pt>
                <c:pt idx="3">
                  <c:v>10.06.2026</c:v>
                </c:pt>
                <c:pt idx="4">
                  <c:v>13.06.2026</c:v>
                </c:pt>
                <c:pt idx="5">
                  <c:v>16.06.2026</c:v>
                </c:pt>
              </c:strCache>
            </c:strRef>
          </c:cat>
          <c:val>
            <c:numRef>
              <c:f>'Электро Дашборд'!$E$15:$E$20</c:f>
              <c:numCache>
                <c:formatCode>0.0</c:formatCode>
                <c:ptCount val="6"/>
                <c:pt idx="0">
                  <c:v>1.8</c:v>
                </c:pt>
                <c:pt idx="1">
                  <c:v>1.7</c:v>
                </c:pt>
                <c:pt idx="2">
                  <c:v>1.9</c:v>
                </c:pt>
                <c:pt idx="3">
                  <c:v>1.8</c:v>
                </c:pt>
                <c:pt idx="4">
                  <c:v>1.7</c:v>
                </c:pt>
                <c:pt idx="5">
                  <c:v>1.8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'Электро Дашборд'!F14</c:f>
              <c:strCache>
                <c:ptCount val="1"/>
                <c:pt idx="0">
                  <c:v>СХ-29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'Электро Дашборд'!$A$15:$A$20</c:f>
              <c:strCache>
                <c:ptCount val="6"/>
                <c:pt idx="0">
                  <c:v>01.06.2026</c:v>
                </c:pt>
                <c:pt idx="1">
                  <c:v>04.06.2026</c:v>
                </c:pt>
                <c:pt idx="2">
                  <c:v>07.06.2026</c:v>
                </c:pt>
                <c:pt idx="3">
                  <c:v>10.06.2026</c:v>
                </c:pt>
                <c:pt idx="4">
                  <c:v>13.06.2026</c:v>
                </c:pt>
                <c:pt idx="5">
                  <c:v>16.06.2026</c:v>
                </c:pt>
              </c:strCache>
            </c:strRef>
          </c:cat>
          <c:val>
            <c:numRef>
              <c:f>'Электро Дашборд'!$F$15:$F$20</c:f>
              <c:numCache>
                <c:formatCode>0.0</c:formatCode>
                <c:ptCount val="6"/>
                <c:pt idx="0">
                  <c:v>2</c:v>
                </c:pt>
                <c:pt idx="1">
                  <c:v>1.9</c:v>
                </c:pt>
                <c:pt idx="2">
                  <c:v>1.8</c:v>
                </c:pt>
                <c:pt idx="3">
                  <c:v>1.6</c:v>
                </c:pt>
                <c:pt idx="4">
                  <c:v>1.5</c:v>
                </c:pt>
                <c:pt idx="5">
                  <c:v>1.4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0850615"/>
        <c:axId val="55486831"/>
      </c:lineChart>
      <c:catAx>
        <c:axId val="408506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486831"/>
        <c:crosses val="autoZero"/>
        <c:auto val="1"/>
        <c:lblAlgn val="ctr"/>
        <c:lblOffset val="100"/>
        <c:noMultiLvlLbl val="0"/>
      </c:catAx>
      <c:valAx>
        <c:axId val="554868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8506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Удельная мощность по скважинам, кВт/т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'Электро Дашборд'!D6</c:f>
              <c:strCache>
                <c:ptCount val="1"/>
                <c:pt idx="0">
                  <c:v>Удельная мощность, кВт/т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'Электро Дашборд'!$A$7:$A$11</c:f>
              <c:strCache>
                <c:ptCount val="5"/>
                <c:pt idx="0">
                  <c:v>СХ-23</c:v>
                </c:pt>
                <c:pt idx="1">
                  <c:v>СХ-30</c:v>
                </c:pt>
                <c:pt idx="2">
                  <c:v>СХ-15</c:v>
                </c:pt>
                <c:pt idx="3">
                  <c:v>СХ-16</c:v>
                </c:pt>
                <c:pt idx="4">
                  <c:v>СХ-29</c:v>
                </c:pt>
              </c:strCache>
            </c:strRef>
          </c:cat>
          <c:val>
            <c:numRef>
              <c:f>'Электро Дашборд'!$D$7:$D$11</c:f>
              <c:numCache>
                <c:formatCode>0.00</c:formatCode>
                <c:ptCount val="5"/>
                <c:pt idx="0">
                  <c:v>0.693344566133109</c:v>
                </c:pt>
                <c:pt idx="1">
                  <c:v>0.7375</c:v>
                </c:pt>
                <c:pt idx="2">
                  <c:v>0.931896551724138</c:v>
                </c:pt>
                <c:pt idx="3">
                  <c:v>0.834444444444444</c:v>
                </c:pt>
                <c:pt idx="4">
                  <c:v>0.920987654320988</c:v>
                </c:pt>
              </c:numCache>
            </c:numRef>
          </c:val>
        </c:ser>
        <c:gapWidth val="150"/>
        <c:overlap val="0"/>
        <c:axId val="7136766"/>
        <c:axId val="87248102"/>
      </c:barChart>
      <c:catAx>
        <c:axId val="713676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248102"/>
        <c:crosses val="autoZero"/>
        <c:auto val="1"/>
        <c:lblAlgn val="ctr"/>
        <c:lblOffset val="100"/>
        <c:noMultiLvlLbl val="0"/>
      </c:catAx>
      <c:valAx>
        <c:axId val="872481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367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Срабатывания по скважинам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'Уставки Дашборд'!B4</c:f>
              <c:strCache>
                <c:ptCount val="1"/>
                <c:pt idx="0">
                  <c:v>Кол-во срабатываний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'Уставки Дашборд'!$A$5:$A$9</c:f>
              <c:strCache>
                <c:ptCount val="5"/>
                <c:pt idx="0">
                  <c:v>СХ-23</c:v>
                </c:pt>
                <c:pt idx="1">
                  <c:v>СХ-30</c:v>
                </c:pt>
                <c:pt idx="2">
                  <c:v>СХ-15</c:v>
                </c:pt>
                <c:pt idx="3">
                  <c:v>СХ-16</c:v>
                </c:pt>
                <c:pt idx="4">
                  <c:v>СХ-29</c:v>
                </c:pt>
              </c:strCache>
            </c:strRef>
          </c:cat>
          <c:val>
            <c:numRef>
              <c:f>'Уставки Дашборд'!$B$5:$B$9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</c:ser>
        <c:gapWidth val="150"/>
        <c:overlap val="0"/>
        <c:axId val="49872721"/>
        <c:axId val="75075891"/>
      </c:barChart>
      <c:catAx>
        <c:axId val="4987272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075891"/>
        <c:crosses val="autoZero"/>
        <c:auto val="1"/>
        <c:lblAlgn val="ctr"/>
        <c:lblOffset val="100"/>
        <c:noMultiLvlLbl val="0"/>
      </c:catAx>
      <c:valAx>
        <c:axId val="750758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8727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Срабатывания по типу уставки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'Уставки Дашборд'!B13</c:f>
              <c:strCache>
                <c:ptCount val="1"/>
                <c:pt idx="0">
                  <c:v>Кол-во срабатываний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'Уставки Дашборд'!$A$14:$A$17</c:f>
              <c:strCache>
                <c:ptCount val="4"/>
                <c:pt idx="0">
                  <c:v>LOAD_MAX_ALARM</c:v>
                </c:pt>
                <c:pt idx="1">
                  <c:v>LOAD_MIN_ALARM</c:v>
                </c:pt>
                <c:pt idx="2">
                  <c:v>SSK_ALARM</c:v>
                </c:pt>
                <c:pt idx="3">
                  <c:v>SSK_WARNING</c:v>
                </c:pt>
              </c:strCache>
            </c:strRef>
          </c:cat>
          <c:val>
            <c:numRef>
              <c:f>'Уставки Дашборд'!$B$14:$B$17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</c:ser>
        <c:gapWidth val="150"/>
        <c:overlap val="0"/>
        <c:axId val="15312507"/>
        <c:axId val="14960183"/>
      </c:barChart>
      <c:catAx>
        <c:axId val="153125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960183"/>
        <c:crosses val="autoZero"/>
        <c:auto val="1"/>
        <c:lblAlgn val="ctr"/>
        <c:lblOffset val="100"/>
        <c:noMultiLvlLbl val="0"/>
      </c:catAx>
      <c:valAx>
        <c:axId val="149601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3125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4</xdr:row>
      <xdr:rowOff>176040</xdr:rowOff>
    </xdr:from>
    <xdr:to>
      <xdr:col>15</xdr:col>
      <xdr:colOff>255960</xdr:colOff>
      <xdr:row>20</xdr:row>
      <xdr:rowOff>7200</xdr:rowOff>
    </xdr:to>
    <xdr:graphicFrame>
      <xdr:nvGraphicFramePr>
        <xdr:cNvPr id="0" name="Chart 1"/>
        <xdr:cNvGraphicFramePr/>
      </xdr:nvGraphicFramePr>
      <xdr:xfrm>
        <a:off x="9069840" y="94752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13</xdr:row>
      <xdr:rowOff>175680</xdr:rowOff>
    </xdr:from>
    <xdr:to>
      <xdr:col>15</xdr:col>
      <xdr:colOff>255960</xdr:colOff>
      <xdr:row>29</xdr:row>
      <xdr:rowOff>7200</xdr:rowOff>
    </xdr:to>
    <xdr:graphicFrame>
      <xdr:nvGraphicFramePr>
        <xdr:cNvPr id="1" name="Chart 2"/>
        <xdr:cNvGraphicFramePr/>
      </xdr:nvGraphicFramePr>
      <xdr:xfrm>
        <a:off x="9069840" y="266184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31</xdr:row>
      <xdr:rowOff>175680</xdr:rowOff>
    </xdr:from>
    <xdr:to>
      <xdr:col>15</xdr:col>
      <xdr:colOff>255960</xdr:colOff>
      <xdr:row>47</xdr:row>
      <xdr:rowOff>7200</xdr:rowOff>
    </xdr:to>
    <xdr:graphicFrame>
      <xdr:nvGraphicFramePr>
        <xdr:cNvPr id="2" name="Chart 3"/>
        <xdr:cNvGraphicFramePr/>
      </xdr:nvGraphicFramePr>
      <xdr:xfrm>
        <a:off x="9069840" y="609084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176040</xdr:rowOff>
    </xdr:from>
    <xdr:to>
      <xdr:col>17</xdr:col>
      <xdr:colOff>364320</xdr:colOff>
      <xdr:row>20</xdr:row>
      <xdr:rowOff>7200</xdr:rowOff>
    </xdr:to>
    <xdr:graphicFrame>
      <xdr:nvGraphicFramePr>
        <xdr:cNvPr id="3" name="Chart 1"/>
        <xdr:cNvGraphicFramePr/>
      </xdr:nvGraphicFramePr>
      <xdr:xfrm>
        <a:off x="9351720" y="1137960"/>
        <a:ext cx="64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12</xdr:row>
      <xdr:rowOff>175680</xdr:rowOff>
    </xdr:from>
    <xdr:to>
      <xdr:col>17</xdr:col>
      <xdr:colOff>364320</xdr:colOff>
      <xdr:row>28</xdr:row>
      <xdr:rowOff>7200</xdr:rowOff>
    </xdr:to>
    <xdr:graphicFrame>
      <xdr:nvGraphicFramePr>
        <xdr:cNvPr id="4" name="Chart 2"/>
        <xdr:cNvGraphicFramePr/>
      </xdr:nvGraphicFramePr>
      <xdr:xfrm>
        <a:off x="9351720" y="2661840"/>
        <a:ext cx="64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175680</xdr:rowOff>
    </xdr:from>
    <xdr:to>
      <xdr:col>12</xdr:col>
      <xdr:colOff>255600</xdr:colOff>
      <xdr:row>17</xdr:row>
      <xdr:rowOff>7200</xdr:rowOff>
    </xdr:to>
    <xdr:graphicFrame>
      <xdr:nvGraphicFramePr>
        <xdr:cNvPr id="5" name="Chart 1"/>
        <xdr:cNvGraphicFramePr/>
      </xdr:nvGraphicFramePr>
      <xdr:xfrm>
        <a:off x="3571920" y="37584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18</xdr:row>
      <xdr:rowOff>175680</xdr:rowOff>
    </xdr:from>
    <xdr:to>
      <xdr:col>12</xdr:col>
      <xdr:colOff>255600</xdr:colOff>
      <xdr:row>34</xdr:row>
      <xdr:rowOff>7200</xdr:rowOff>
    </xdr:to>
    <xdr:graphicFrame>
      <xdr:nvGraphicFramePr>
        <xdr:cNvPr id="6" name="Chart 2"/>
        <xdr:cNvGraphicFramePr/>
      </xdr:nvGraphicFramePr>
      <xdr:xfrm>
        <a:off x="3571920" y="3614040"/>
        <a:ext cx="575928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80"/>
  </cols>
  <sheetData>
    <row r="1" customFormat="false" ht="15.75" hidden="false" customHeight="true" outlineLevel="0" collapsed="false">
      <c r="A1" s="2" t="s">
        <v>0</v>
      </c>
    </row>
    <row r="3" customFormat="false" ht="30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5"/>
      <c r="B4" s="5"/>
    </row>
    <row r="5" customFormat="false" ht="30" hidden="false" customHeight="true" outlineLevel="0" collapsed="false">
      <c r="A5" s="6" t="s">
        <v>3</v>
      </c>
      <c r="B5" s="4" t="s">
        <v>4</v>
      </c>
    </row>
    <row r="6" customFormat="false" ht="15" hidden="false" customHeight="true" outlineLevel="0" collapsed="false">
      <c r="A6" s="5"/>
      <c r="B6" s="5"/>
    </row>
    <row r="7" customFormat="false" ht="30" hidden="false" customHeight="true" outlineLevel="0" collapsed="false">
      <c r="A7" s="7" t="s">
        <v>5</v>
      </c>
      <c r="B7" s="4" t="s">
        <v>6</v>
      </c>
    </row>
    <row r="8" customFormat="false" ht="15" hidden="false" customHeight="true" outlineLevel="0" collapsed="false">
      <c r="A8" s="5"/>
      <c r="B8" s="5"/>
    </row>
    <row r="9" customFormat="false" ht="30" hidden="false" customHeight="true" outlineLevel="0" collapsed="false">
      <c r="A9" s="8" t="s">
        <v>7</v>
      </c>
      <c r="B9" s="4" t="s">
        <v>8</v>
      </c>
    </row>
    <row r="10" customFormat="false" ht="15" hidden="false" customHeight="true" outlineLevel="0" collapsed="false">
      <c r="A10" s="5"/>
      <c r="B10" s="5"/>
    </row>
    <row r="11" customFormat="false" ht="30" hidden="false" customHeight="true" outlineLevel="0" collapsed="false">
      <c r="A11" s="9" t="s">
        <v>9</v>
      </c>
      <c r="B11" s="4" t="s">
        <v>10</v>
      </c>
    </row>
    <row r="12" customFormat="false" ht="15" hidden="false" customHeight="true" outlineLevel="0" collapsed="false">
      <c r="A12" s="5"/>
      <c r="B12" s="5"/>
    </row>
    <row r="13" customFormat="false" ht="15" hidden="false" customHeight="true" outlineLevel="0" collapsed="false">
      <c r="A13" s="5"/>
      <c r="B13" s="5"/>
    </row>
    <row r="14" customFormat="false" ht="15" hidden="false" customHeight="true" outlineLevel="0" collapsed="false">
      <c r="A14" s="10" t="s">
        <v>11</v>
      </c>
    </row>
    <row r="15" customFormat="false" ht="45" hidden="false" customHeight="true" outlineLevel="0" collapsed="false">
      <c r="A15" s="11" t="s">
        <v>12</v>
      </c>
      <c r="B15" s="11"/>
    </row>
    <row r="16" customFormat="false" ht="45" hidden="false" customHeight="true" outlineLevel="0" collapsed="false">
      <c r="A16" s="11" t="s">
        <v>13</v>
      </c>
      <c r="B16" s="11"/>
    </row>
    <row r="17" customFormat="false" ht="45" hidden="false" customHeight="true" outlineLevel="0" collapsed="false">
      <c r="A17" s="11" t="s">
        <v>14</v>
      </c>
      <c r="B17" s="11"/>
    </row>
    <row r="18" customFormat="false" ht="45" hidden="false" customHeight="true" outlineLevel="0" collapsed="false">
      <c r="A18" s="11" t="s">
        <v>15</v>
      </c>
      <c r="B18" s="11"/>
    </row>
    <row r="19" customFormat="false" ht="45" hidden="false" customHeight="true" outlineLevel="0" collapsed="false">
      <c r="A19" s="11" t="s">
        <v>16</v>
      </c>
      <c r="B19" s="11"/>
    </row>
    <row r="20" customFormat="false" ht="45" hidden="false" customHeight="true" outlineLevel="0" collapsed="false">
      <c r="A20" s="11" t="s">
        <v>17</v>
      </c>
      <c r="B20" s="11"/>
    </row>
  </sheetData>
  <mergeCells count="6">
    <mergeCell ref="A15:B15"/>
    <mergeCell ref="A16:B16"/>
    <mergeCell ref="A17:B17"/>
    <mergeCell ref="A18:B18"/>
    <mergeCell ref="A19:B19"/>
    <mergeCell ref="A20:B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26"/>
    <col collapsed="false" customWidth="true" hidden="false" outlineLevel="0" max="5" min="5" style="1" width="22"/>
  </cols>
  <sheetData>
    <row r="1" customFormat="false" ht="15.75" hidden="false" customHeight="true" outlineLevel="0" collapsed="false">
      <c r="A1" s="2" t="s">
        <v>18</v>
      </c>
    </row>
    <row r="3" customFormat="false" ht="15" hidden="false" customHeight="true" outlineLevel="0" collapsed="false">
      <c r="A3" s="12" t="s">
        <v>19</v>
      </c>
    </row>
    <row r="4" customFormat="false" ht="15" hidden="false" customHeight="true" outlineLevel="0" collapsed="false">
      <c r="A4" s="13" t="s">
        <v>20</v>
      </c>
      <c r="B4" s="13" t="s">
        <v>21</v>
      </c>
    </row>
    <row r="5" customFormat="false" ht="15" hidden="false" customHeight="true" outlineLevel="0" collapsed="false">
      <c r="A5" s="14" t="n">
        <v>1</v>
      </c>
      <c r="B5" s="14" t="s">
        <v>22</v>
      </c>
    </row>
    <row r="6" customFormat="false" ht="15" hidden="false" customHeight="true" outlineLevel="0" collapsed="false">
      <c r="A6" s="14" t="n">
        <v>2</v>
      </c>
      <c r="B6" s="14" t="s">
        <v>23</v>
      </c>
    </row>
    <row r="7" customFormat="false" ht="15" hidden="false" customHeight="true" outlineLevel="0" collapsed="false">
      <c r="A7" s="14" t="n">
        <v>3</v>
      </c>
      <c r="B7" s="14" t="s">
        <v>24</v>
      </c>
    </row>
    <row r="8" customFormat="false" ht="15" hidden="false" customHeight="true" outlineLevel="0" collapsed="false">
      <c r="A8" s="14" t="n">
        <v>4</v>
      </c>
      <c r="B8" s="14" t="s">
        <v>25</v>
      </c>
    </row>
    <row r="9" customFormat="false" ht="15" hidden="false" customHeight="true" outlineLevel="0" collapsed="false">
      <c r="A9" s="14" t="n">
        <v>5</v>
      </c>
      <c r="B9" s="14" t="s">
        <v>26</v>
      </c>
    </row>
    <row r="12" customFormat="false" ht="15" hidden="false" customHeight="true" outlineLevel="0" collapsed="false">
      <c r="A12" s="13" t="s">
        <v>27</v>
      </c>
      <c r="B12" s="13" t="s">
        <v>28</v>
      </c>
      <c r="C12" s="13" t="s">
        <v>29</v>
      </c>
      <c r="D12" s="13" t="s">
        <v>30</v>
      </c>
      <c r="E12" s="13" t="s">
        <v>31</v>
      </c>
    </row>
    <row r="13" customFormat="false" ht="15" hidden="false" customHeight="true" outlineLevel="0" collapsed="false">
      <c r="A13" s="15" t="s">
        <v>32</v>
      </c>
      <c r="B13" s="15" t="s">
        <v>33</v>
      </c>
      <c r="C13" s="15" t="n">
        <v>1</v>
      </c>
      <c r="D13" s="16" t="str">
        <f aca="false">VLOOKUP(C13,$A$5:$B$9,2,FALSE())</f>
        <v>Выкл. питания</v>
      </c>
      <c r="E13" s="15" t="n">
        <v>1</v>
      </c>
    </row>
    <row r="14" customFormat="false" ht="15" hidden="false" customHeight="true" outlineLevel="0" collapsed="false">
      <c r="A14" s="15" t="s">
        <v>34</v>
      </c>
      <c r="B14" s="15" t="s">
        <v>35</v>
      </c>
      <c r="C14" s="15" t="n">
        <v>2</v>
      </c>
      <c r="D14" s="16" t="str">
        <f aca="false">VLOOKUP(C14,$A$5:$B$9,2,FALSE())</f>
        <v>Авария по нагрузке</v>
      </c>
      <c r="E14" s="15" t="n">
        <v>6</v>
      </c>
    </row>
    <row r="15" customFormat="false" ht="15" hidden="false" customHeight="true" outlineLevel="0" collapsed="false">
      <c r="A15" s="15" t="s">
        <v>34</v>
      </c>
      <c r="B15" s="15" t="s">
        <v>36</v>
      </c>
      <c r="C15" s="15" t="n">
        <v>3</v>
      </c>
      <c r="D15" s="16" t="str">
        <f aca="false">VLOOKUP(C15,$A$5:$B$9,2,FALSE())</f>
        <v>Парафиноотложение</v>
      </c>
      <c r="E15" s="15" t="n">
        <v>4</v>
      </c>
    </row>
    <row r="16" customFormat="false" ht="15" hidden="false" customHeight="true" outlineLevel="0" collapsed="false">
      <c r="A16" s="15" t="s">
        <v>34</v>
      </c>
      <c r="B16" s="15" t="s">
        <v>37</v>
      </c>
      <c r="C16" s="15" t="n">
        <v>2</v>
      </c>
      <c r="D16" s="16" t="str">
        <f aca="false">VLOOKUP(C16,$A$5:$B$9,2,FALSE())</f>
        <v>Авария по нагрузке</v>
      </c>
      <c r="E16" s="15" t="n">
        <v>5</v>
      </c>
    </row>
    <row r="17" customFormat="false" ht="15" hidden="false" customHeight="true" outlineLevel="0" collapsed="false">
      <c r="A17" s="15" t="s">
        <v>38</v>
      </c>
      <c r="B17" s="15" t="s">
        <v>39</v>
      </c>
      <c r="C17" s="15" t="n">
        <v>5</v>
      </c>
      <c r="D17" s="16" t="str">
        <f aca="false">VLOOKUP(C17,$A$5:$B$9,2,FALSE())</f>
        <v>Авария ТМС</v>
      </c>
      <c r="E17" s="15" t="n">
        <v>10</v>
      </c>
    </row>
    <row r="18" customFormat="false" ht="15" hidden="false" customHeight="true" outlineLevel="0" collapsed="false">
      <c r="A18" s="15" t="s">
        <v>38</v>
      </c>
      <c r="B18" s="15" t="s">
        <v>40</v>
      </c>
      <c r="C18" s="15" t="n">
        <v>5</v>
      </c>
      <c r="D18" s="16" t="str">
        <f aca="false">VLOOKUP(C18,$A$5:$B$9,2,FALSE())</f>
        <v>Авария ТМС</v>
      </c>
      <c r="E18" s="15" t="n">
        <v>8</v>
      </c>
    </row>
    <row r="19" customFormat="false" ht="15" hidden="false" customHeight="true" outlineLevel="0" collapsed="false">
      <c r="A19" s="15" t="s">
        <v>41</v>
      </c>
      <c r="B19" s="15" t="s">
        <v>42</v>
      </c>
      <c r="C19" s="15" t="n">
        <v>1</v>
      </c>
      <c r="D19" s="16" t="str">
        <f aca="false">VLOOKUP(C19,$A$5:$B$9,2,FALSE())</f>
        <v>Выкл. питания</v>
      </c>
      <c r="E19" s="15" t="n">
        <v>1</v>
      </c>
    </row>
    <row r="20" customFormat="false" ht="15" hidden="false" customHeight="true" outlineLevel="0" collapsed="false">
      <c r="A20" s="15" t="s">
        <v>43</v>
      </c>
      <c r="B20" s="15" t="s">
        <v>42</v>
      </c>
      <c r="C20" s="15" t="n">
        <v>4</v>
      </c>
      <c r="D20" s="16" t="str">
        <f aca="false">VLOOKUP(C20,$A$5:$B$9,2,FALSE())</f>
        <v>Плановый ремонт (ПРС)</v>
      </c>
      <c r="E20" s="15" t="n">
        <v>20</v>
      </c>
    </row>
    <row r="21" customFormat="false" ht="15" hidden="false" customHeight="true" outlineLevel="0" collapsed="false">
      <c r="A21" s="15" t="s">
        <v>43</v>
      </c>
      <c r="B21" s="15" t="s">
        <v>39</v>
      </c>
      <c r="C21" s="15" t="n">
        <v>3</v>
      </c>
      <c r="D21" s="16" t="str">
        <f aca="false">VLOOKUP(C21,$A$5:$B$9,2,FALSE())</f>
        <v>Парафиноотложение</v>
      </c>
      <c r="E21" s="15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24"/>
    <col collapsed="false" customWidth="true" hidden="false" outlineLevel="0" max="5" min="5" style="1" width="30"/>
  </cols>
  <sheetData>
    <row r="1" customFormat="false" ht="15.75" hidden="false" customHeight="true" outlineLevel="0" collapsed="false">
      <c r="A1" s="2" t="s">
        <v>44</v>
      </c>
    </row>
    <row r="3" customFormat="false" ht="15" hidden="false" customHeight="true" outlineLevel="0" collapsed="false">
      <c r="A3" s="1" t="s">
        <v>45</v>
      </c>
      <c r="C3" s="14" t="s">
        <v>46</v>
      </c>
    </row>
    <row r="6" customFormat="false" ht="15" hidden="false" customHeight="true" outlineLevel="0" collapsed="false">
      <c r="A6" s="10" t="s">
        <v>47</v>
      </c>
    </row>
    <row r="7" customFormat="false" ht="15" hidden="false" customHeight="true" outlineLevel="0" collapsed="false">
      <c r="A7" s="13" t="s">
        <v>27</v>
      </c>
      <c r="B7" s="13" t="s">
        <v>48</v>
      </c>
      <c r="C7" s="13" t="s">
        <v>49</v>
      </c>
      <c r="D7" s="13" t="s">
        <v>50</v>
      </c>
      <c r="E7" s="13" t="s">
        <v>51</v>
      </c>
    </row>
    <row r="8" customFormat="false" ht="15" hidden="false" customHeight="true" outlineLevel="0" collapsed="false">
      <c r="A8" s="16" t="s">
        <v>32</v>
      </c>
      <c r="B8" s="16" t="n">
        <f aca="false">COUNTIF('Журнал простоев'!A$13:A$21,A8)</f>
        <v>1</v>
      </c>
      <c r="C8" s="17" t="n">
        <f aca="false">SUMIF('Журнал простоев'!A$13:A$21,A8,'Журнал простоев'!E$13:E$21)</f>
        <v>1</v>
      </c>
      <c r="D8" s="17" t="n">
        <f aca="false">IF(B8=0,0,C8/B8)</f>
        <v>1</v>
      </c>
      <c r="E8" s="17" t="n">
        <f aca="false">C8/384*100</f>
        <v>0.260416666666667</v>
      </c>
    </row>
    <row r="9" customFormat="false" ht="15" hidden="false" customHeight="true" outlineLevel="0" collapsed="false">
      <c r="A9" s="16" t="s">
        <v>34</v>
      </c>
      <c r="B9" s="16" t="n">
        <f aca="false">COUNTIF('Журнал простоев'!A$13:A$21,A9)</f>
        <v>3</v>
      </c>
      <c r="C9" s="17" t="n">
        <f aca="false">SUMIF('Журнал простоев'!A$13:A$21,A9,'Журнал простоев'!E$13:E$21)</f>
        <v>15</v>
      </c>
      <c r="D9" s="17" t="n">
        <f aca="false">IF(B9=0,0,C9/B9)</f>
        <v>5</v>
      </c>
      <c r="E9" s="17" t="n">
        <f aca="false">C9/384*100</f>
        <v>3.90625</v>
      </c>
    </row>
    <row r="10" customFormat="false" ht="15" hidden="false" customHeight="true" outlineLevel="0" collapsed="false">
      <c r="A10" s="16" t="s">
        <v>38</v>
      </c>
      <c r="B10" s="16" t="n">
        <f aca="false">COUNTIF('Журнал простоев'!A$13:A$21,A10)</f>
        <v>2</v>
      </c>
      <c r="C10" s="17" t="n">
        <f aca="false">SUMIF('Журнал простоев'!A$13:A$21,A10,'Журнал простоев'!E$13:E$21)</f>
        <v>18</v>
      </c>
      <c r="D10" s="17" t="n">
        <f aca="false">IF(B10=0,0,C10/B10)</f>
        <v>9</v>
      </c>
      <c r="E10" s="17" t="n">
        <f aca="false">C10/384*100</f>
        <v>4.6875</v>
      </c>
    </row>
    <row r="11" customFormat="false" ht="15" hidden="false" customHeight="true" outlineLevel="0" collapsed="false">
      <c r="A11" s="16" t="s">
        <v>41</v>
      </c>
      <c r="B11" s="16" t="n">
        <f aca="false">COUNTIF('Журнал простоев'!A$13:A$21,A11)</f>
        <v>1</v>
      </c>
      <c r="C11" s="17" t="n">
        <f aca="false">SUMIF('Журнал простоев'!A$13:A$21,A11,'Журнал простоев'!E$13:E$21)</f>
        <v>1</v>
      </c>
      <c r="D11" s="17" t="n">
        <f aca="false">IF(B11=0,0,C11/B11)</f>
        <v>1</v>
      </c>
      <c r="E11" s="17" t="n">
        <f aca="false">C11/384*100</f>
        <v>0.260416666666667</v>
      </c>
    </row>
    <row r="12" customFormat="false" ht="15" hidden="false" customHeight="true" outlineLevel="0" collapsed="false">
      <c r="A12" s="16" t="s">
        <v>43</v>
      </c>
      <c r="B12" s="16" t="n">
        <f aca="false">COUNTIF('Журнал простоев'!A$13:A$21,A12)</f>
        <v>2</v>
      </c>
      <c r="C12" s="17" t="n">
        <f aca="false">SUMIF('Журнал простоев'!A$13:A$21,A12,'Журнал простоев'!E$13:E$21)</f>
        <v>23</v>
      </c>
      <c r="D12" s="17" t="n">
        <f aca="false">IF(B12=0,0,C12/B12)</f>
        <v>11.5</v>
      </c>
      <c r="E12" s="17" t="n">
        <f aca="false">C12/384*100</f>
        <v>5.98958333333333</v>
      </c>
    </row>
    <row r="15" customFormat="false" ht="15" hidden="false" customHeight="true" outlineLevel="0" collapsed="false">
      <c r="A15" s="10" t="s">
        <v>52</v>
      </c>
    </row>
    <row r="16" customFormat="false" ht="15" hidden="false" customHeight="true" outlineLevel="0" collapsed="false">
      <c r="A16" s="13" t="s">
        <v>21</v>
      </c>
      <c r="B16" s="13" t="s">
        <v>53</v>
      </c>
      <c r="C16" s="13" t="s">
        <v>54</v>
      </c>
      <c r="D16" s="13" t="s">
        <v>55</v>
      </c>
    </row>
    <row r="17" customFormat="false" ht="15" hidden="false" customHeight="true" outlineLevel="0" collapsed="false">
      <c r="A17" s="16" t="s">
        <v>22</v>
      </c>
      <c r="B17" s="17" t="n">
        <f aca="false">SUMIF('Журнал простоев'!D$13:D$21,A17,'Журнал простоев'!E$13:E$21)</f>
        <v>2</v>
      </c>
      <c r="C17" s="17" t="n">
        <f aca="false">B17/SUM(B17:B21)*100</f>
        <v>3.44827586206897</v>
      </c>
      <c r="D17" s="17" t="n">
        <f aca="false">SUMPRODUCT(($B$17:$B$21&gt;=B17)*$B$17:$B$21)/SUM(B17:B21)*100</f>
        <v>100</v>
      </c>
    </row>
    <row r="18" customFormat="false" ht="15" hidden="false" customHeight="true" outlineLevel="0" collapsed="false">
      <c r="A18" s="16" t="s">
        <v>23</v>
      </c>
      <c r="B18" s="17" t="n">
        <f aca="false">SUMIF('Журнал простоев'!D$13:D$21,A18,'Журнал простоев'!E$13:E$21)</f>
        <v>11</v>
      </c>
      <c r="C18" s="17" t="n">
        <f aca="false">B18/SUM(B17:B21)*100</f>
        <v>18.9655172413793</v>
      </c>
      <c r="D18" s="17" t="n">
        <f aca="false">SUMPRODUCT(($B$17:$B$21&gt;=B18)*$B$17:$B$21)/SUM(B17:B21)*100</f>
        <v>84.4827586206897</v>
      </c>
    </row>
    <row r="19" customFormat="false" ht="15" hidden="false" customHeight="true" outlineLevel="0" collapsed="false">
      <c r="A19" s="16" t="s">
        <v>24</v>
      </c>
      <c r="B19" s="17" t="n">
        <f aca="false">SUMIF('Журнал простоев'!D$13:D$21,A19,'Журнал простоев'!E$13:E$21)</f>
        <v>7</v>
      </c>
      <c r="C19" s="17" t="n">
        <f aca="false">B19/SUM(B17:B21)*100</f>
        <v>12.0689655172414</v>
      </c>
      <c r="D19" s="17" t="n">
        <f aca="false">SUMPRODUCT(($B$17:$B$21&gt;=B19)*$B$17:$B$21)/SUM(B17:B21)*100</f>
        <v>96.551724137931</v>
      </c>
    </row>
    <row r="20" customFormat="false" ht="15" hidden="false" customHeight="true" outlineLevel="0" collapsed="false">
      <c r="A20" s="16" t="s">
        <v>25</v>
      </c>
      <c r="B20" s="17" t="n">
        <f aca="false">SUMIF('Журнал простоев'!D$13:D$21,A20,'Журнал простоев'!E$13:E$21)</f>
        <v>20</v>
      </c>
      <c r="C20" s="17" t="n">
        <f aca="false">B20/SUM(B17:B21)*100</f>
        <v>34.4827586206897</v>
      </c>
      <c r="D20" s="17" t="n">
        <f aca="false">SUMPRODUCT(($B$17:$B$21&gt;=B20)*$B$17:$B$21)/SUM(B17:B21)*100</f>
        <v>34.4827586206897</v>
      </c>
    </row>
    <row r="21" customFormat="false" ht="15" hidden="false" customHeight="true" outlineLevel="0" collapsed="false">
      <c r="A21" s="16" t="s">
        <v>26</v>
      </c>
      <c r="B21" s="17" t="n">
        <f aca="false">SUMIF('Журнал простоев'!D$13:D$21,A21,'Журнал простоев'!E$13:E$21)</f>
        <v>18</v>
      </c>
      <c r="C21" s="17" t="n">
        <f aca="false">B21/SUM(B17:B21)*100</f>
        <v>31.0344827586207</v>
      </c>
      <c r="D21" s="17" t="n">
        <f aca="false">SUMPRODUCT(($B$17:$B$21&gt;=B21)*$B$17:$B$21)/SUM(B17:B21)*100</f>
        <v>65.5172413793104</v>
      </c>
    </row>
  </sheetData>
  <conditionalFormatting sqref="E8:E12">
    <cfRule type="expression" priority="2" aboveAverage="0" equalAverage="0" bottom="0" percent="0" rank="0" text="" dxfId="0">
      <formula>E8&gt;5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0"/>
    <col collapsed="false" customWidth="true" hidden="false" outlineLevel="0" max="7" min="5" style="1" width="22"/>
  </cols>
  <sheetData>
    <row r="1" customFormat="false" ht="15.75" hidden="false" customHeight="true" outlineLevel="0" collapsed="false">
      <c r="A1" s="2" t="s">
        <v>56</v>
      </c>
    </row>
    <row r="3" customFormat="false" ht="15" hidden="false" customHeight="true" outlineLevel="0" collapsed="false">
      <c r="A3" s="12" t="s">
        <v>57</v>
      </c>
    </row>
    <row r="5" customFormat="false" ht="15" hidden="false" customHeight="true" outlineLevel="0" collapsed="false">
      <c r="A5" s="13" t="s">
        <v>27</v>
      </c>
      <c r="B5" s="13" t="s">
        <v>58</v>
      </c>
      <c r="C5" s="13" t="s">
        <v>59</v>
      </c>
      <c r="D5" s="13" t="s">
        <v>60</v>
      </c>
      <c r="E5" s="13" t="s">
        <v>61</v>
      </c>
      <c r="F5" s="13" t="s">
        <v>62</v>
      </c>
      <c r="G5" s="13" t="s">
        <v>63</v>
      </c>
    </row>
    <row r="6" customFormat="false" ht="15" hidden="false" customHeight="true" outlineLevel="0" collapsed="false">
      <c r="A6" s="15" t="s">
        <v>32</v>
      </c>
      <c r="B6" s="15" t="s">
        <v>42</v>
      </c>
      <c r="C6" s="15" t="n">
        <v>13.8</v>
      </c>
      <c r="D6" s="15" t="n">
        <v>1.2</v>
      </c>
      <c r="E6" s="15" t="n">
        <v>20</v>
      </c>
      <c r="F6" s="18" t="n">
        <f aca="false">C6/E6</f>
        <v>0.69</v>
      </c>
      <c r="G6" s="16" t="str">
        <f aca="false">IF(D6&gt;='Электро Дашборд'!$C$3,"Проверить двигатель","Норма")</f>
        <v>Норма</v>
      </c>
    </row>
    <row r="7" customFormat="false" ht="15" hidden="false" customHeight="true" outlineLevel="0" collapsed="false">
      <c r="A7" s="15" t="s">
        <v>32</v>
      </c>
      <c r="B7" s="15" t="s">
        <v>35</v>
      </c>
      <c r="C7" s="15" t="n">
        <v>13.7</v>
      </c>
      <c r="D7" s="15" t="n">
        <v>1.3</v>
      </c>
      <c r="E7" s="15" t="n">
        <v>19.8</v>
      </c>
      <c r="F7" s="18" t="n">
        <f aca="false">C7/E7</f>
        <v>0.691919191919192</v>
      </c>
      <c r="G7" s="16" t="str">
        <f aca="false">IF(D7&gt;='Электро Дашборд'!$C$3,"Проверить двигатель","Норма")</f>
        <v>Норма</v>
      </c>
    </row>
    <row r="8" customFormat="false" ht="15" hidden="false" customHeight="true" outlineLevel="0" collapsed="false">
      <c r="A8" s="15" t="s">
        <v>32</v>
      </c>
      <c r="B8" s="15" t="s">
        <v>33</v>
      </c>
      <c r="C8" s="15" t="n">
        <v>13.9</v>
      </c>
      <c r="D8" s="15" t="n">
        <v>1.1</v>
      </c>
      <c r="E8" s="15" t="n">
        <v>20.1</v>
      </c>
      <c r="F8" s="18" t="n">
        <f aca="false">C8/E8</f>
        <v>0.691542288557214</v>
      </c>
      <c r="G8" s="16" t="str">
        <f aca="false">IF(D8&gt;='Электро Дашборд'!$C$3,"Проверить двигатель","Норма")</f>
        <v>Норма</v>
      </c>
    </row>
    <row r="9" customFormat="false" ht="15" hidden="false" customHeight="true" outlineLevel="0" collapsed="false">
      <c r="A9" s="15" t="s">
        <v>32</v>
      </c>
      <c r="B9" s="15" t="s">
        <v>39</v>
      </c>
      <c r="C9" s="15" t="n">
        <v>13.6</v>
      </c>
      <c r="D9" s="15" t="n">
        <v>1.4</v>
      </c>
      <c r="E9" s="15" t="n">
        <v>19.5</v>
      </c>
      <c r="F9" s="18" t="n">
        <f aca="false">C9/E9</f>
        <v>0.697435897435897</v>
      </c>
      <c r="G9" s="16" t="str">
        <f aca="false">IF(D9&gt;='Электро Дашборд'!$C$3,"Проверить двигатель","Норма")</f>
        <v>Норма</v>
      </c>
    </row>
    <row r="10" customFormat="false" ht="15" hidden="false" customHeight="true" outlineLevel="0" collapsed="false">
      <c r="A10" s="15" t="s">
        <v>32</v>
      </c>
      <c r="B10" s="15" t="s">
        <v>40</v>
      </c>
      <c r="C10" s="15" t="n">
        <v>13.7</v>
      </c>
      <c r="D10" s="15" t="n">
        <v>1.2</v>
      </c>
      <c r="E10" s="15" t="n">
        <v>19.7</v>
      </c>
      <c r="F10" s="18" t="n">
        <f aca="false">C10/E10</f>
        <v>0.695431472081218</v>
      </c>
      <c r="G10" s="16" t="str">
        <f aca="false">IF(D10&gt;='Электро Дашборд'!$C$3,"Проверить двигатель","Норма")</f>
        <v>Норма</v>
      </c>
    </row>
    <row r="11" customFormat="false" ht="15" hidden="false" customHeight="true" outlineLevel="0" collapsed="false">
      <c r="A11" s="15" t="s">
        <v>32</v>
      </c>
      <c r="B11" s="15" t="s">
        <v>37</v>
      </c>
      <c r="C11" s="15" t="n">
        <v>13.6</v>
      </c>
      <c r="D11" s="15" t="n">
        <v>1.3</v>
      </c>
      <c r="E11" s="15" t="n">
        <v>19.6</v>
      </c>
      <c r="F11" s="18" t="n">
        <f aca="false">C11/E11</f>
        <v>0.693877551020408</v>
      </c>
      <c r="G11" s="16" t="str">
        <f aca="false">IF(D11&gt;='Электро Дашборд'!$C$3,"Проверить двигатель","Норма")</f>
        <v>Норма</v>
      </c>
    </row>
    <row r="12" customFormat="false" ht="15" hidden="false" customHeight="true" outlineLevel="0" collapsed="false">
      <c r="A12" s="15" t="s">
        <v>34</v>
      </c>
      <c r="B12" s="15" t="s">
        <v>42</v>
      </c>
      <c r="C12" s="15" t="n">
        <v>11</v>
      </c>
      <c r="D12" s="15" t="n">
        <v>1.5</v>
      </c>
      <c r="E12" s="15" t="n">
        <v>18</v>
      </c>
      <c r="F12" s="18" t="n">
        <f aca="false">C12/E12</f>
        <v>0.611111111111111</v>
      </c>
      <c r="G12" s="16" t="str">
        <f aca="false">IF(D12&gt;='Электро Дашборд'!$C$3,"Проверить двигатель","Норма")</f>
        <v>Норма</v>
      </c>
    </row>
    <row r="13" customFormat="false" ht="15" hidden="false" customHeight="true" outlineLevel="0" collapsed="false">
      <c r="A13" s="15" t="s">
        <v>34</v>
      </c>
      <c r="B13" s="15" t="s">
        <v>35</v>
      </c>
      <c r="C13" s="15" t="n">
        <v>10.5</v>
      </c>
      <c r="D13" s="15" t="n">
        <v>2</v>
      </c>
      <c r="E13" s="15" t="n">
        <v>16</v>
      </c>
      <c r="F13" s="18" t="n">
        <f aca="false">C13/E13</f>
        <v>0.65625</v>
      </c>
      <c r="G13" s="16" t="str">
        <f aca="false">IF(D13&gt;='Электро Дашборд'!$C$3,"Проверить двигатель","Норма")</f>
        <v>Норма</v>
      </c>
    </row>
    <row r="14" customFormat="false" ht="15" hidden="false" customHeight="true" outlineLevel="0" collapsed="false">
      <c r="A14" s="15" t="s">
        <v>34</v>
      </c>
      <c r="B14" s="15" t="s">
        <v>33</v>
      </c>
      <c r="C14" s="15" t="n">
        <v>10</v>
      </c>
      <c r="D14" s="15" t="n">
        <v>3</v>
      </c>
      <c r="E14" s="15" t="n">
        <v>14</v>
      </c>
      <c r="F14" s="18" t="n">
        <f aca="false">C14/E14</f>
        <v>0.714285714285714</v>
      </c>
      <c r="G14" s="16" t="str">
        <f aca="false">IF(D14&gt;='Электро Дашборд'!$C$3,"Проверить двигатель","Норма")</f>
        <v>Норма</v>
      </c>
    </row>
    <row r="15" customFormat="false" ht="15" hidden="false" customHeight="true" outlineLevel="0" collapsed="false">
      <c r="A15" s="15" t="s">
        <v>34</v>
      </c>
      <c r="B15" s="15" t="s">
        <v>39</v>
      </c>
      <c r="C15" s="15" t="n">
        <v>9.5</v>
      </c>
      <c r="D15" s="15" t="n">
        <v>4.5</v>
      </c>
      <c r="E15" s="15" t="n">
        <v>12</v>
      </c>
      <c r="F15" s="18" t="n">
        <f aca="false">C15/E15</f>
        <v>0.791666666666667</v>
      </c>
      <c r="G15" s="16" t="str">
        <f aca="false">IF(D15&gt;='Электро Дашборд'!$C$3,"Проверить двигатель","Норма")</f>
        <v>Норма</v>
      </c>
    </row>
    <row r="16" customFormat="false" ht="15" hidden="false" customHeight="true" outlineLevel="0" collapsed="false">
      <c r="A16" s="15" t="s">
        <v>34</v>
      </c>
      <c r="B16" s="15" t="s">
        <v>40</v>
      </c>
      <c r="C16" s="15" t="n">
        <v>9.2</v>
      </c>
      <c r="D16" s="15" t="n">
        <v>6</v>
      </c>
      <c r="E16" s="15" t="n">
        <v>11</v>
      </c>
      <c r="F16" s="18" t="n">
        <f aca="false">C16/E16</f>
        <v>0.836363636363636</v>
      </c>
      <c r="G16" s="16" t="str">
        <f aca="false">IF(D16&gt;='Электро Дашборд'!$C$3,"Проверить двигатель","Норма")</f>
        <v>Проверить двигатель</v>
      </c>
    </row>
    <row r="17" customFormat="false" ht="15" hidden="false" customHeight="true" outlineLevel="0" collapsed="false">
      <c r="A17" s="15" t="s">
        <v>34</v>
      </c>
      <c r="B17" s="15" t="s">
        <v>37</v>
      </c>
      <c r="C17" s="15" t="n">
        <v>8.8</v>
      </c>
      <c r="D17" s="15" t="n">
        <v>7.5</v>
      </c>
      <c r="E17" s="15" t="n">
        <v>9</v>
      </c>
      <c r="F17" s="18" t="n">
        <f aca="false">C17/E17</f>
        <v>0.977777777777778</v>
      </c>
      <c r="G17" s="16" t="str">
        <f aca="false">IF(D17&gt;='Электро Дашборд'!$C$3,"Проверить двигатель","Норма")</f>
        <v>Проверить двигатель</v>
      </c>
    </row>
    <row r="18" customFormat="false" ht="15" hidden="false" customHeight="true" outlineLevel="0" collapsed="false">
      <c r="A18" s="15" t="s">
        <v>38</v>
      </c>
      <c r="B18" s="15" t="s">
        <v>42</v>
      </c>
      <c r="C18" s="15" t="n">
        <v>15</v>
      </c>
      <c r="D18" s="15" t="n">
        <v>1</v>
      </c>
      <c r="E18" s="15" t="n">
        <v>25</v>
      </c>
      <c r="F18" s="18" t="n">
        <f aca="false">C18/E18</f>
        <v>0.6</v>
      </c>
      <c r="G18" s="16" t="str">
        <f aca="false">IF(D18&gt;='Электро Дашборд'!$C$3,"Проверить двигатель","Норма")</f>
        <v>Норма</v>
      </c>
    </row>
    <row r="19" customFormat="false" ht="15" hidden="false" customHeight="true" outlineLevel="0" collapsed="false">
      <c r="A19" s="15" t="s">
        <v>38</v>
      </c>
      <c r="B19" s="15" t="s">
        <v>35</v>
      </c>
      <c r="C19" s="15" t="n">
        <v>16.5</v>
      </c>
      <c r="D19" s="15" t="n">
        <v>1.1</v>
      </c>
      <c r="E19" s="15" t="n">
        <v>24</v>
      </c>
      <c r="F19" s="18" t="n">
        <f aca="false">C19/E19</f>
        <v>0.6875</v>
      </c>
      <c r="G19" s="16" t="str">
        <f aca="false">IF(D19&gt;='Электро Дашборд'!$C$3,"Проверить двигатель","Норма")</f>
        <v>Норма</v>
      </c>
    </row>
    <row r="20" customFormat="false" ht="15" hidden="false" customHeight="true" outlineLevel="0" collapsed="false">
      <c r="A20" s="15" t="s">
        <v>38</v>
      </c>
      <c r="B20" s="15" t="s">
        <v>33</v>
      </c>
      <c r="C20" s="15" t="n">
        <v>18</v>
      </c>
      <c r="D20" s="15" t="n">
        <v>1</v>
      </c>
      <c r="E20" s="15" t="n">
        <v>22</v>
      </c>
      <c r="F20" s="18" t="n">
        <f aca="false">C20/E20</f>
        <v>0.818181818181818</v>
      </c>
      <c r="G20" s="16" t="str">
        <f aca="false">IF(D20&gt;='Электро Дашборд'!$C$3,"Проверить двигатель","Норма")</f>
        <v>Норма</v>
      </c>
    </row>
    <row r="21" customFormat="false" ht="15" hidden="false" customHeight="true" outlineLevel="0" collapsed="false">
      <c r="A21" s="15" t="s">
        <v>38</v>
      </c>
      <c r="B21" s="15" t="s">
        <v>39</v>
      </c>
      <c r="C21" s="15" t="n">
        <v>19.5</v>
      </c>
      <c r="D21" s="15" t="n">
        <v>1.2</v>
      </c>
      <c r="E21" s="15" t="n">
        <v>18</v>
      </c>
      <c r="F21" s="18" t="n">
        <f aca="false">C21/E21</f>
        <v>1.08333333333333</v>
      </c>
      <c r="G21" s="16" t="str">
        <f aca="false">IF(D21&gt;='Электро Дашборд'!$C$3,"Проверить двигатель","Норма")</f>
        <v>Норма</v>
      </c>
    </row>
    <row r="22" customFormat="false" ht="15" hidden="false" customHeight="true" outlineLevel="0" collapsed="false">
      <c r="A22" s="15" t="s">
        <v>38</v>
      </c>
      <c r="B22" s="15" t="s">
        <v>40</v>
      </c>
      <c r="C22" s="15" t="n">
        <v>19.8</v>
      </c>
      <c r="D22" s="15" t="n">
        <v>1.1</v>
      </c>
      <c r="E22" s="15" t="n">
        <v>15</v>
      </c>
      <c r="F22" s="18" t="n">
        <f aca="false">C22/E22</f>
        <v>1.32</v>
      </c>
      <c r="G22" s="16" t="str">
        <f aca="false">IF(D22&gt;='Электро Дашборд'!$C$3,"Проверить двигатель","Норма")</f>
        <v>Норма</v>
      </c>
    </row>
    <row r="23" customFormat="false" ht="15" hidden="false" customHeight="true" outlineLevel="0" collapsed="false">
      <c r="A23" s="15" t="s">
        <v>38</v>
      </c>
      <c r="B23" s="15" t="s">
        <v>37</v>
      </c>
      <c r="C23" s="15" t="n">
        <v>19.3</v>
      </c>
      <c r="D23" s="15" t="n">
        <v>1</v>
      </c>
      <c r="E23" s="15" t="n">
        <v>12</v>
      </c>
      <c r="F23" s="18" t="n">
        <f aca="false">C23/E23</f>
        <v>1.60833333333333</v>
      </c>
      <c r="G23" s="16" t="str">
        <f aca="false">IF(D23&gt;='Электро Дашборд'!$C$3,"Проверить двигатель","Норма")</f>
        <v>Норма</v>
      </c>
    </row>
    <row r="24" customFormat="false" ht="15" hidden="false" customHeight="true" outlineLevel="0" collapsed="false">
      <c r="A24" s="15" t="s">
        <v>41</v>
      </c>
      <c r="B24" s="15" t="s">
        <v>42</v>
      </c>
      <c r="C24" s="15" t="n">
        <v>12.5</v>
      </c>
      <c r="D24" s="15" t="n">
        <v>1.8</v>
      </c>
      <c r="E24" s="15" t="n">
        <v>15</v>
      </c>
      <c r="F24" s="18" t="n">
        <f aca="false">C24/E24</f>
        <v>0.833333333333333</v>
      </c>
      <c r="G24" s="16" t="str">
        <f aca="false">IF(D24&gt;='Электро Дашборд'!$C$3,"Проверить двигатель","Норма")</f>
        <v>Норма</v>
      </c>
    </row>
    <row r="25" customFormat="false" ht="15" hidden="false" customHeight="true" outlineLevel="0" collapsed="false">
      <c r="A25" s="15" t="s">
        <v>41</v>
      </c>
      <c r="B25" s="15" t="s">
        <v>35</v>
      </c>
      <c r="C25" s="15" t="n">
        <v>12.6</v>
      </c>
      <c r="D25" s="15" t="n">
        <v>1.7</v>
      </c>
      <c r="E25" s="15" t="n">
        <v>15.2</v>
      </c>
      <c r="F25" s="18" t="n">
        <f aca="false">C25/E25</f>
        <v>0.828947368421053</v>
      </c>
      <c r="G25" s="16" t="str">
        <f aca="false">IF(D25&gt;='Электро Дашборд'!$C$3,"Проверить двигатель","Норма")</f>
        <v>Норма</v>
      </c>
    </row>
    <row r="26" customFormat="false" ht="15" hidden="false" customHeight="true" outlineLevel="0" collapsed="false">
      <c r="A26" s="15" t="s">
        <v>41</v>
      </c>
      <c r="B26" s="15" t="s">
        <v>33</v>
      </c>
      <c r="C26" s="15" t="n">
        <v>12.4</v>
      </c>
      <c r="D26" s="15" t="n">
        <v>1.9</v>
      </c>
      <c r="E26" s="15" t="n">
        <v>14.9</v>
      </c>
      <c r="F26" s="18" t="n">
        <f aca="false">C26/E26</f>
        <v>0.832214765100671</v>
      </c>
      <c r="G26" s="16" t="str">
        <f aca="false">IF(D26&gt;='Электро Дашборд'!$C$3,"Проверить двигатель","Норма")</f>
        <v>Норма</v>
      </c>
    </row>
    <row r="27" customFormat="false" ht="15" hidden="false" customHeight="true" outlineLevel="0" collapsed="false">
      <c r="A27" s="15" t="s">
        <v>41</v>
      </c>
      <c r="B27" s="15" t="s">
        <v>39</v>
      </c>
      <c r="C27" s="15" t="n">
        <v>12.5</v>
      </c>
      <c r="D27" s="15" t="n">
        <v>1.8</v>
      </c>
      <c r="E27" s="15" t="n">
        <v>15.1</v>
      </c>
      <c r="F27" s="18" t="n">
        <f aca="false">C27/E27</f>
        <v>0.827814569536424</v>
      </c>
      <c r="G27" s="16" t="str">
        <f aca="false">IF(D27&gt;='Электро Дашборд'!$C$3,"Проверить двигатель","Норма")</f>
        <v>Норма</v>
      </c>
    </row>
    <row r="28" customFormat="false" ht="15" hidden="false" customHeight="true" outlineLevel="0" collapsed="false">
      <c r="A28" s="15" t="s">
        <v>41</v>
      </c>
      <c r="B28" s="15" t="s">
        <v>40</v>
      </c>
      <c r="C28" s="15" t="n">
        <v>12.6</v>
      </c>
      <c r="D28" s="15" t="n">
        <v>1.7</v>
      </c>
      <c r="E28" s="15" t="n">
        <v>15</v>
      </c>
      <c r="F28" s="18" t="n">
        <f aca="false">C28/E28</f>
        <v>0.84</v>
      </c>
      <c r="G28" s="16" t="str">
        <f aca="false">IF(D28&gt;='Электро Дашборд'!$C$3,"Проверить двигатель","Норма")</f>
        <v>Норма</v>
      </c>
    </row>
    <row r="29" customFormat="false" ht="15" hidden="false" customHeight="true" outlineLevel="0" collapsed="false">
      <c r="A29" s="15" t="s">
        <v>41</v>
      </c>
      <c r="B29" s="15" t="s">
        <v>37</v>
      </c>
      <c r="C29" s="15" t="n">
        <v>12.5</v>
      </c>
      <c r="D29" s="15" t="n">
        <v>1.8</v>
      </c>
      <c r="E29" s="15" t="n">
        <v>14.8</v>
      </c>
      <c r="F29" s="18" t="n">
        <f aca="false">C29/E29</f>
        <v>0.844594594594595</v>
      </c>
      <c r="G29" s="16" t="str">
        <f aca="false">IF(D29&gt;='Электро Дашборд'!$C$3,"Проверить двигатель","Норма")</f>
        <v>Норма</v>
      </c>
    </row>
    <row r="30" customFormat="false" ht="15" hidden="false" customHeight="true" outlineLevel="0" collapsed="false">
      <c r="A30" s="15" t="s">
        <v>43</v>
      </c>
      <c r="B30" s="15" t="s">
        <v>42</v>
      </c>
      <c r="C30" s="15" t="n">
        <v>12</v>
      </c>
      <c r="D30" s="15" t="n">
        <v>2</v>
      </c>
      <c r="E30" s="15" t="n">
        <v>10</v>
      </c>
      <c r="F30" s="18" t="n">
        <f aca="false">C30/E30</f>
        <v>1.2</v>
      </c>
      <c r="G30" s="16" t="str">
        <f aca="false">IF(D30&gt;='Электро Дашборд'!$C$3,"Проверить двигатель","Норма")</f>
        <v>Норма</v>
      </c>
    </row>
    <row r="31" customFormat="false" ht="15" hidden="false" customHeight="true" outlineLevel="0" collapsed="false">
      <c r="A31" s="15" t="s">
        <v>43</v>
      </c>
      <c r="B31" s="15" t="s">
        <v>35</v>
      </c>
      <c r="C31" s="15" t="n">
        <v>12.2</v>
      </c>
      <c r="D31" s="15" t="n">
        <v>1.9</v>
      </c>
      <c r="E31" s="15" t="n">
        <v>11</v>
      </c>
      <c r="F31" s="18" t="n">
        <f aca="false">C31/E31</f>
        <v>1.10909090909091</v>
      </c>
      <c r="G31" s="16" t="str">
        <f aca="false">IF(D31&gt;='Электро Дашборд'!$C$3,"Проверить двигатель","Норма")</f>
        <v>Норма</v>
      </c>
    </row>
    <row r="32" customFormat="false" ht="15" hidden="false" customHeight="true" outlineLevel="0" collapsed="false">
      <c r="A32" s="15" t="s">
        <v>43</v>
      </c>
      <c r="B32" s="15" t="s">
        <v>33</v>
      </c>
      <c r="C32" s="15" t="n">
        <v>12.5</v>
      </c>
      <c r="D32" s="15" t="n">
        <v>1.8</v>
      </c>
      <c r="E32" s="15" t="n">
        <v>13</v>
      </c>
      <c r="F32" s="18" t="n">
        <f aca="false">C32/E32</f>
        <v>0.961538461538462</v>
      </c>
      <c r="G32" s="16" t="str">
        <f aca="false">IF(D32&gt;='Электро Дашборд'!$C$3,"Проверить двигатель","Норма")</f>
        <v>Норма</v>
      </c>
    </row>
    <row r="33" customFormat="false" ht="15" hidden="false" customHeight="true" outlineLevel="0" collapsed="false">
      <c r="A33" s="15" t="s">
        <v>43</v>
      </c>
      <c r="B33" s="15" t="s">
        <v>39</v>
      </c>
      <c r="C33" s="15" t="n">
        <v>12.6</v>
      </c>
      <c r="D33" s="15" t="n">
        <v>1.6</v>
      </c>
      <c r="E33" s="15" t="n">
        <v>14</v>
      </c>
      <c r="F33" s="18" t="n">
        <f aca="false">C33/E33</f>
        <v>0.9</v>
      </c>
      <c r="G33" s="16" t="str">
        <f aca="false">IF(D33&gt;='Электро Дашборд'!$C$3,"Проверить двигатель","Норма")</f>
        <v>Норма</v>
      </c>
    </row>
    <row r="34" customFormat="false" ht="15" hidden="false" customHeight="true" outlineLevel="0" collapsed="false">
      <c r="A34" s="15" t="s">
        <v>43</v>
      </c>
      <c r="B34" s="15" t="s">
        <v>40</v>
      </c>
      <c r="C34" s="15" t="n">
        <v>12.7</v>
      </c>
      <c r="D34" s="15" t="n">
        <v>1.5</v>
      </c>
      <c r="E34" s="15" t="n">
        <v>16</v>
      </c>
      <c r="F34" s="18" t="n">
        <f aca="false">C34/E34</f>
        <v>0.79375</v>
      </c>
      <c r="G34" s="16" t="str">
        <f aca="false">IF(D34&gt;='Электро Дашборд'!$C$3,"Проверить двигатель","Норма")</f>
        <v>Норма</v>
      </c>
    </row>
    <row r="35" customFormat="false" ht="15" hidden="false" customHeight="true" outlineLevel="0" collapsed="false">
      <c r="A35" s="15" t="s">
        <v>43</v>
      </c>
      <c r="B35" s="15" t="s">
        <v>37</v>
      </c>
      <c r="C35" s="15" t="n">
        <v>12.6</v>
      </c>
      <c r="D35" s="15" t="n">
        <v>1.4</v>
      </c>
      <c r="E35" s="15" t="n">
        <v>17</v>
      </c>
      <c r="F35" s="18" t="n">
        <f aca="false">C35/E35</f>
        <v>0.741176470588235</v>
      </c>
      <c r="G35" s="16" t="str">
        <f aca="false">IF(D35&gt;='Электро Дашборд'!$C$3,"Проверить двигатель","Норма")</f>
        <v>Норма</v>
      </c>
    </row>
  </sheetData>
  <conditionalFormatting sqref="D6:D35">
    <cfRule type="expression" priority="2" aboveAverage="0" equalAverage="0" bottom="0" percent="0" rank="0" text="" dxfId="0">
      <formula>D6&gt;='Электро Дашборд'!$C$3</formula>
    </cfRule>
  </conditionalFormatting>
  <conditionalFormatting sqref="G6:G35">
    <cfRule type="expression" priority="3" aboveAverage="0" equalAverage="0" bottom="0" percent="0" rank="0" text="" dxfId="0">
      <formula>G6="Проверить двигатель"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3" min="3" style="1" width="24"/>
    <col collapsed="false" customWidth="true" hidden="false" outlineLevel="0" max="4" min="4" style="1" width="22"/>
    <col collapsed="false" customWidth="true" hidden="false" outlineLevel="0" max="5" min="5" style="1" width="24"/>
    <col collapsed="false" customWidth="true" hidden="false" outlineLevel="0" max="6" min="6" style="1" width="22"/>
  </cols>
  <sheetData>
    <row r="1" customFormat="false" ht="15.75" hidden="false" customHeight="true" outlineLevel="0" collapsed="false">
      <c r="A1" s="2" t="s">
        <v>64</v>
      </c>
    </row>
    <row r="3" customFormat="false" ht="30" hidden="false" customHeight="true" outlineLevel="0" collapsed="false">
      <c r="A3" s="19" t="s">
        <v>65</v>
      </c>
      <c r="B3" s="19"/>
      <c r="C3" s="20" t="n">
        <v>5</v>
      </c>
    </row>
    <row r="5" customFormat="false" ht="15" hidden="false" customHeight="true" outlineLevel="0" collapsed="false">
      <c r="A5" s="10" t="s">
        <v>66</v>
      </c>
    </row>
    <row r="6" customFormat="false" ht="15" hidden="false" customHeight="true" outlineLevel="0" collapsed="false">
      <c r="A6" s="13" t="s">
        <v>27</v>
      </c>
      <c r="B6" s="13" t="s">
        <v>67</v>
      </c>
      <c r="C6" s="13" t="s">
        <v>68</v>
      </c>
      <c r="D6" s="13" t="s">
        <v>62</v>
      </c>
      <c r="E6" s="13" t="s">
        <v>69</v>
      </c>
      <c r="F6" s="13" t="s">
        <v>63</v>
      </c>
    </row>
    <row r="7" customFormat="false" ht="15" hidden="false" customHeight="true" outlineLevel="0" collapsed="false">
      <c r="A7" s="16" t="s">
        <v>32</v>
      </c>
      <c r="B7" s="17" t="n">
        <f aca="false">AVERAGEIF('Журнал электро'!A$6:A$35,A7,'Журнал электро'!C$6:C$35)</f>
        <v>13.7166666666667</v>
      </c>
      <c r="C7" s="17" t="n">
        <f aca="false">AVERAGEIF('Журнал электро'!A$6:A$35,A7,'Журнал электро'!E$6:E$35)</f>
        <v>19.7833333333333</v>
      </c>
      <c r="D7" s="18" t="n">
        <f aca="false">B7/C7</f>
        <v>0.693344566133109</v>
      </c>
      <c r="E7" s="17" t="n">
        <f aca="false">SUMPRODUCT(MAX(('Журнал электро'!$A$6:$A$35=A7)*'Журнал электро'!$D$6:$D$35))</f>
        <v>1.4</v>
      </c>
      <c r="F7" s="16" t="str">
        <f aca="false">IF(E7&gt;=$C$3,"Проверить двигатель","Норма")</f>
        <v>Норма</v>
      </c>
    </row>
    <row r="8" customFormat="false" ht="15" hidden="false" customHeight="true" outlineLevel="0" collapsed="false">
      <c r="A8" s="16" t="s">
        <v>34</v>
      </c>
      <c r="B8" s="17" t="n">
        <f aca="false">AVERAGEIF('Журнал электро'!A$6:A$35,A8,'Журнал электро'!C$6:C$35)</f>
        <v>9.83333333333333</v>
      </c>
      <c r="C8" s="17" t="n">
        <f aca="false">AVERAGEIF('Журнал электро'!A$6:A$35,A8,'Журнал электро'!E$6:E$35)</f>
        <v>13.3333333333333</v>
      </c>
      <c r="D8" s="18" t="n">
        <f aca="false">B8/C8</f>
        <v>0.7375</v>
      </c>
      <c r="E8" s="17" t="n">
        <f aca="false">SUMPRODUCT(MAX(('Журнал электро'!$A$6:$A$35=A8)*'Журнал электро'!$D$6:$D$35))</f>
        <v>7.5</v>
      </c>
      <c r="F8" s="16" t="str">
        <f aca="false">IF(E8&gt;=$C$3,"Проверить двигатель","Норма")</f>
        <v>Проверить двигатель</v>
      </c>
    </row>
    <row r="9" customFormat="false" ht="15" hidden="false" customHeight="true" outlineLevel="0" collapsed="false">
      <c r="A9" s="16" t="s">
        <v>38</v>
      </c>
      <c r="B9" s="17" t="n">
        <f aca="false">AVERAGEIF('Журнал электро'!A$6:A$35,A9,'Журнал электро'!C$6:C$35)</f>
        <v>18.0166666666667</v>
      </c>
      <c r="C9" s="17" t="n">
        <f aca="false">AVERAGEIF('Журнал электро'!A$6:A$35,A9,'Журнал электро'!E$6:E$35)</f>
        <v>19.3333333333333</v>
      </c>
      <c r="D9" s="18" t="n">
        <f aca="false">B9/C9</f>
        <v>0.931896551724138</v>
      </c>
      <c r="E9" s="17" t="n">
        <f aca="false">SUMPRODUCT(MAX(('Журнал электро'!$A$6:$A$35=A9)*'Журнал электро'!$D$6:$D$35))</f>
        <v>1.2</v>
      </c>
      <c r="F9" s="16" t="str">
        <f aca="false">IF(E9&gt;=$C$3,"Проверить двигатель","Норма")</f>
        <v>Норма</v>
      </c>
    </row>
    <row r="10" customFormat="false" ht="15" hidden="false" customHeight="true" outlineLevel="0" collapsed="false">
      <c r="A10" s="16" t="s">
        <v>41</v>
      </c>
      <c r="B10" s="17" t="n">
        <f aca="false">AVERAGEIF('Журнал электро'!A$6:A$35,A10,'Журнал электро'!C$6:C$35)</f>
        <v>12.5166666666667</v>
      </c>
      <c r="C10" s="17" t="n">
        <f aca="false">AVERAGEIF('Журнал электро'!A$6:A$35,A10,'Журнал электро'!E$6:E$35)</f>
        <v>15</v>
      </c>
      <c r="D10" s="18" t="n">
        <f aca="false">B10/C10</f>
        <v>0.834444444444444</v>
      </c>
      <c r="E10" s="17" t="n">
        <f aca="false">SUMPRODUCT(MAX(('Журнал электро'!$A$6:$A$35=A10)*'Журнал электро'!$D$6:$D$35))</f>
        <v>1.9</v>
      </c>
      <c r="F10" s="16" t="str">
        <f aca="false">IF(E10&gt;=$C$3,"Проверить двигатель","Норма")</f>
        <v>Норма</v>
      </c>
    </row>
    <row r="11" customFormat="false" ht="15" hidden="false" customHeight="true" outlineLevel="0" collapsed="false">
      <c r="A11" s="16" t="s">
        <v>43</v>
      </c>
      <c r="B11" s="17" t="n">
        <f aca="false">AVERAGEIF('Журнал электро'!A$6:A$35,A11,'Журнал электро'!C$6:C$35)</f>
        <v>12.4333333333333</v>
      </c>
      <c r="C11" s="17" t="n">
        <f aca="false">AVERAGEIF('Журнал электро'!A$6:A$35,A11,'Журнал электро'!E$6:E$35)</f>
        <v>13.5</v>
      </c>
      <c r="D11" s="18" t="n">
        <f aca="false">B11/C11</f>
        <v>0.920987654320988</v>
      </c>
      <c r="E11" s="17" t="n">
        <f aca="false">SUMPRODUCT(MAX(('Журнал электро'!$A$6:$A$35=A11)*'Журнал электро'!$D$6:$D$35))</f>
        <v>2</v>
      </c>
      <c r="F11" s="16" t="str">
        <f aca="false">IF(E11&gt;=$C$3,"Проверить двигатель","Норма")</f>
        <v>Норма</v>
      </c>
    </row>
    <row r="13" customFormat="false" ht="15" hidden="false" customHeight="true" outlineLevel="0" collapsed="false">
      <c r="A13" s="10" t="s">
        <v>70</v>
      </c>
    </row>
    <row r="14" customFormat="false" ht="15" hidden="false" customHeight="true" outlineLevel="0" collapsed="false">
      <c r="A14" s="13" t="s">
        <v>58</v>
      </c>
      <c r="B14" s="13" t="s">
        <v>32</v>
      </c>
      <c r="C14" s="13" t="s">
        <v>34</v>
      </c>
      <c r="D14" s="13" t="s">
        <v>38</v>
      </c>
      <c r="E14" s="13" t="s">
        <v>41</v>
      </c>
      <c r="F14" s="13" t="s">
        <v>43</v>
      </c>
    </row>
    <row r="15" customFormat="false" ht="15" hidden="false" customHeight="true" outlineLevel="0" collapsed="false">
      <c r="A15" s="16" t="s">
        <v>42</v>
      </c>
      <c r="B15" s="17" t="n">
        <f aca="false">SUMPRODUCT(('Журнал электро'!$A$6:$A$35=$B$14)*('Журнал электро'!$B$6:$B$35=$A15)*'Журнал электро'!$D$6:$D$35)</f>
        <v>1.2</v>
      </c>
      <c r="C15" s="17" t="n">
        <f aca="false">SUMPRODUCT(('Журнал электро'!$A$6:$A$35=$C$14)*('Журнал электро'!$B$6:$B$35=$A15)*'Журнал электро'!$D$6:$D$35)</f>
        <v>1.5</v>
      </c>
      <c r="D15" s="17" t="n">
        <f aca="false">SUMPRODUCT(('Журнал электро'!$A$6:$A$35=$D$14)*('Журнал электро'!$B$6:$B$35=$A15)*'Журнал электро'!$D$6:$D$35)</f>
        <v>1</v>
      </c>
      <c r="E15" s="17" t="n">
        <f aca="false">SUMPRODUCT(('Журнал электро'!$A$6:$A$35=$E$14)*('Журнал электро'!$B$6:$B$35=$A15)*'Журнал электро'!$D$6:$D$35)</f>
        <v>1.8</v>
      </c>
      <c r="F15" s="17" t="n">
        <f aca="false">SUMPRODUCT(('Журнал электро'!$A$6:$A$35=$F$14)*('Журнал электро'!$B$6:$B$35=$A15)*'Журнал электро'!$D$6:$D$35)</f>
        <v>2</v>
      </c>
    </row>
    <row r="16" customFormat="false" ht="15" hidden="false" customHeight="true" outlineLevel="0" collapsed="false">
      <c r="A16" s="16" t="s">
        <v>35</v>
      </c>
      <c r="B16" s="17" t="n">
        <f aca="false">SUMPRODUCT(('Журнал электро'!$A$6:$A$35=$B$14)*('Журнал электро'!$B$6:$B$35=$A16)*'Журнал электро'!$D$6:$D$35)</f>
        <v>1.3</v>
      </c>
      <c r="C16" s="17" t="n">
        <f aca="false">SUMPRODUCT(('Журнал электро'!$A$6:$A$35=$C$14)*('Журнал электро'!$B$6:$B$35=$A16)*'Журнал электро'!$D$6:$D$35)</f>
        <v>2</v>
      </c>
      <c r="D16" s="17" t="n">
        <f aca="false">SUMPRODUCT(('Журнал электро'!$A$6:$A$35=$D$14)*('Журнал электро'!$B$6:$B$35=$A16)*'Журнал электро'!$D$6:$D$35)</f>
        <v>1.1</v>
      </c>
      <c r="E16" s="17" t="n">
        <f aca="false">SUMPRODUCT(('Журнал электро'!$A$6:$A$35=$E$14)*('Журнал электро'!$B$6:$B$35=$A16)*'Журнал электро'!$D$6:$D$35)</f>
        <v>1.7</v>
      </c>
      <c r="F16" s="17" t="n">
        <f aca="false">SUMPRODUCT(('Журнал электро'!$A$6:$A$35=$F$14)*('Журнал электро'!$B$6:$B$35=$A16)*'Журнал электро'!$D$6:$D$35)</f>
        <v>1.9</v>
      </c>
    </row>
    <row r="17" customFormat="false" ht="15" hidden="false" customHeight="true" outlineLevel="0" collapsed="false">
      <c r="A17" s="16" t="s">
        <v>33</v>
      </c>
      <c r="B17" s="17" t="n">
        <f aca="false">SUMPRODUCT(('Журнал электро'!$A$6:$A$35=$B$14)*('Журнал электро'!$B$6:$B$35=$A17)*'Журнал электро'!$D$6:$D$35)</f>
        <v>1.1</v>
      </c>
      <c r="C17" s="17" t="n">
        <f aca="false">SUMPRODUCT(('Журнал электро'!$A$6:$A$35=$C$14)*('Журнал электро'!$B$6:$B$35=$A17)*'Журнал электро'!$D$6:$D$35)</f>
        <v>3</v>
      </c>
      <c r="D17" s="17" t="n">
        <f aca="false">SUMPRODUCT(('Журнал электро'!$A$6:$A$35=$D$14)*('Журнал электро'!$B$6:$B$35=$A17)*'Журнал электро'!$D$6:$D$35)</f>
        <v>1</v>
      </c>
      <c r="E17" s="17" t="n">
        <f aca="false">SUMPRODUCT(('Журнал электро'!$A$6:$A$35=$E$14)*('Журнал электро'!$B$6:$B$35=$A17)*'Журнал электро'!$D$6:$D$35)</f>
        <v>1.9</v>
      </c>
      <c r="F17" s="17" t="n">
        <f aca="false">SUMPRODUCT(('Журнал электро'!$A$6:$A$35=$F$14)*('Журнал электро'!$B$6:$B$35=$A17)*'Журнал электро'!$D$6:$D$35)</f>
        <v>1.8</v>
      </c>
    </row>
    <row r="18" customFormat="false" ht="15" hidden="false" customHeight="true" outlineLevel="0" collapsed="false">
      <c r="A18" s="16" t="s">
        <v>39</v>
      </c>
      <c r="B18" s="17" t="n">
        <f aca="false">SUMPRODUCT(('Журнал электро'!$A$6:$A$35=$B$14)*('Журнал электро'!$B$6:$B$35=$A18)*'Журнал электро'!$D$6:$D$35)</f>
        <v>1.4</v>
      </c>
      <c r="C18" s="17" t="n">
        <f aca="false">SUMPRODUCT(('Журнал электро'!$A$6:$A$35=$C$14)*('Журнал электро'!$B$6:$B$35=$A18)*'Журнал электро'!$D$6:$D$35)</f>
        <v>4.5</v>
      </c>
      <c r="D18" s="17" t="n">
        <f aca="false">SUMPRODUCT(('Журнал электро'!$A$6:$A$35=$D$14)*('Журнал электро'!$B$6:$B$35=$A18)*'Журнал электро'!$D$6:$D$35)</f>
        <v>1.2</v>
      </c>
      <c r="E18" s="17" t="n">
        <f aca="false">SUMPRODUCT(('Журнал электро'!$A$6:$A$35=$E$14)*('Журнал электро'!$B$6:$B$35=$A18)*'Журнал электро'!$D$6:$D$35)</f>
        <v>1.8</v>
      </c>
      <c r="F18" s="17" t="n">
        <f aca="false">SUMPRODUCT(('Журнал электро'!$A$6:$A$35=$F$14)*('Журнал электро'!$B$6:$B$35=$A18)*'Журнал электро'!$D$6:$D$35)</f>
        <v>1.6</v>
      </c>
    </row>
    <row r="19" customFormat="false" ht="15" hidden="false" customHeight="true" outlineLevel="0" collapsed="false">
      <c r="A19" s="16" t="s">
        <v>40</v>
      </c>
      <c r="B19" s="17" t="n">
        <f aca="false">SUMPRODUCT(('Журнал электро'!$A$6:$A$35=$B$14)*('Журнал электро'!$B$6:$B$35=$A19)*'Журнал электро'!$D$6:$D$35)</f>
        <v>1.2</v>
      </c>
      <c r="C19" s="17" t="n">
        <f aca="false">SUMPRODUCT(('Журнал электро'!$A$6:$A$35=$C$14)*('Журнал электро'!$B$6:$B$35=$A19)*'Журнал электро'!$D$6:$D$35)</f>
        <v>6</v>
      </c>
      <c r="D19" s="17" t="n">
        <f aca="false">SUMPRODUCT(('Журнал электро'!$A$6:$A$35=$D$14)*('Журнал электро'!$B$6:$B$35=$A19)*'Журнал электро'!$D$6:$D$35)</f>
        <v>1.1</v>
      </c>
      <c r="E19" s="17" t="n">
        <f aca="false">SUMPRODUCT(('Журнал электро'!$A$6:$A$35=$E$14)*('Журнал электро'!$B$6:$B$35=$A19)*'Журнал электро'!$D$6:$D$35)</f>
        <v>1.7</v>
      </c>
      <c r="F19" s="17" t="n">
        <f aca="false">SUMPRODUCT(('Журнал электро'!$A$6:$A$35=$F$14)*('Журнал электро'!$B$6:$B$35=$A19)*'Журнал электро'!$D$6:$D$35)</f>
        <v>1.5</v>
      </c>
    </row>
    <row r="20" customFormat="false" ht="15" hidden="false" customHeight="true" outlineLevel="0" collapsed="false">
      <c r="A20" s="16" t="s">
        <v>37</v>
      </c>
      <c r="B20" s="17" t="n">
        <f aca="false">SUMPRODUCT(('Журнал электро'!$A$6:$A$35=$B$14)*('Журнал электро'!$B$6:$B$35=$A20)*'Журнал электро'!$D$6:$D$35)</f>
        <v>1.3</v>
      </c>
      <c r="C20" s="17" t="n">
        <f aca="false">SUMPRODUCT(('Журнал электро'!$A$6:$A$35=$C$14)*('Журнал электро'!$B$6:$B$35=$A20)*'Журнал электро'!$D$6:$D$35)</f>
        <v>7.5</v>
      </c>
      <c r="D20" s="17" t="n">
        <f aca="false">SUMPRODUCT(('Журнал электро'!$A$6:$A$35=$D$14)*('Журнал электро'!$B$6:$B$35=$A20)*'Журнал электро'!$D$6:$D$35)</f>
        <v>1</v>
      </c>
      <c r="E20" s="17" t="n">
        <f aca="false">SUMPRODUCT(('Журнал электро'!$A$6:$A$35=$E$14)*('Журнал электро'!$B$6:$B$35=$A20)*'Журнал электро'!$D$6:$D$35)</f>
        <v>1.8</v>
      </c>
      <c r="F20" s="17" t="n">
        <f aca="false">SUMPRODUCT(('Журнал электро'!$A$6:$A$35=$F$14)*('Журнал электро'!$B$6:$B$35=$A20)*'Журнал электро'!$D$6:$D$35)</f>
        <v>1.4</v>
      </c>
    </row>
  </sheetData>
  <mergeCells count="1">
    <mergeCell ref="A3:B3"/>
  </mergeCells>
  <conditionalFormatting sqref="F7:F11">
    <cfRule type="expression" priority="2" aboveAverage="0" equalAverage="0" bottom="0" percent="0" rank="0" text="" dxfId="0">
      <formula>F7="Проверить двигатель"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8"/>
    <col collapsed="false" customWidth="true" hidden="false" outlineLevel="0" max="3" min="3" style="1" width="46"/>
    <col collapsed="false" customWidth="true" hidden="false" outlineLevel="0" max="4" min="4" style="1" width="40"/>
  </cols>
  <sheetData>
    <row r="1" customFormat="false" ht="15.75" hidden="false" customHeight="true" outlineLevel="0" collapsed="false">
      <c r="A1" s="2" t="s">
        <v>71</v>
      </c>
    </row>
    <row r="2" customFormat="false" ht="15" hidden="false" customHeight="true" outlineLevel="0" collapsed="false">
      <c r="A2" s="21" t="s">
        <v>72</v>
      </c>
    </row>
    <row r="4" customFormat="false" ht="15" hidden="false" customHeight="true" outlineLevel="0" collapsed="false">
      <c r="A4" s="13" t="s">
        <v>73</v>
      </c>
      <c r="B4" s="13" t="s">
        <v>74</v>
      </c>
      <c r="C4" s="13" t="s">
        <v>75</v>
      </c>
      <c r="D4" s="13" t="s">
        <v>76</v>
      </c>
    </row>
    <row r="5" customFormat="false" ht="15" hidden="false" customHeight="true" outlineLevel="0" collapsed="false">
      <c r="A5" s="22" t="s">
        <v>77</v>
      </c>
      <c r="B5" s="22" t="n">
        <v>10000</v>
      </c>
      <c r="C5" s="22" t="s">
        <v>78</v>
      </c>
      <c r="D5" s="23" t="s">
        <v>79</v>
      </c>
    </row>
    <row r="6" customFormat="false" ht="15" hidden="false" customHeight="true" outlineLevel="0" collapsed="false">
      <c r="A6" s="22" t="s">
        <v>80</v>
      </c>
      <c r="B6" s="22" t="n">
        <v>-10000</v>
      </c>
      <c r="C6" s="22" t="s">
        <v>81</v>
      </c>
      <c r="D6" s="23" t="s">
        <v>82</v>
      </c>
    </row>
    <row r="7" customFormat="false" ht="15" hidden="false" customHeight="true" outlineLevel="0" collapsed="false">
      <c r="A7" s="22" t="s">
        <v>83</v>
      </c>
      <c r="B7" s="22" t="n">
        <v>100</v>
      </c>
      <c r="C7" s="22" t="s">
        <v>84</v>
      </c>
      <c r="D7" s="23" t="s">
        <v>85</v>
      </c>
    </row>
    <row r="8" customFormat="false" ht="15" hidden="false" customHeight="true" outlineLevel="0" collapsed="false">
      <c r="A8" s="22" t="s">
        <v>86</v>
      </c>
      <c r="B8" s="22" t="n">
        <v>90</v>
      </c>
      <c r="C8" s="22" t="s">
        <v>87</v>
      </c>
      <c r="D8" s="23" t="s">
        <v>85</v>
      </c>
    </row>
    <row r="10" customFormat="false" ht="15" hidden="false" customHeight="true" outlineLevel="0" collapsed="false">
      <c r="A10" s="12" t="s">
        <v>88</v>
      </c>
    </row>
    <row r="11" customFormat="false" ht="30" hidden="false" customHeight="true" outlineLevel="0" collapsed="false">
      <c r="A11" s="24" t="s">
        <v>89</v>
      </c>
      <c r="B11" s="24"/>
      <c r="C11" s="24"/>
      <c r="D11" s="24"/>
    </row>
  </sheetData>
  <mergeCells count="1"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26"/>
    <col collapsed="false" customWidth="true" hidden="false" outlineLevel="0" max="6" min="5" style="1" width="12"/>
  </cols>
  <sheetData>
    <row r="1" customFormat="false" ht="15.75" hidden="false" customHeight="true" outlineLevel="0" collapsed="false">
      <c r="A1" s="2" t="s">
        <v>90</v>
      </c>
    </row>
    <row r="3" customFormat="false" ht="15" hidden="false" customHeight="true" outlineLevel="0" collapsed="false">
      <c r="A3" s="12" t="s">
        <v>91</v>
      </c>
    </row>
    <row r="5" customFormat="false" ht="15" hidden="false" customHeight="true" outlineLevel="0" collapsed="false">
      <c r="A5" s="13" t="s">
        <v>27</v>
      </c>
      <c r="B5" s="13" t="s">
        <v>58</v>
      </c>
      <c r="C5" s="13" t="s">
        <v>92</v>
      </c>
      <c r="D5" s="13" t="s">
        <v>93</v>
      </c>
      <c r="E5" s="13" t="s">
        <v>94</v>
      </c>
      <c r="F5" s="13" t="s">
        <v>95</v>
      </c>
    </row>
    <row r="6" customFormat="false" ht="15" hidden="false" customHeight="true" outlineLevel="0" collapsed="false">
      <c r="A6" s="15" t="s">
        <v>32</v>
      </c>
      <c r="B6" s="15" t="s">
        <v>96</v>
      </c>
      <c r="C6" s="15" t="s">
        <v>97</v>
      </c>
      <c r="D6" s="15" t="n">
        <v>9800</v>
      </c>
      <c r="E6" s="16" t="n">
        <f aca="false">VLOOKUP(C6&amp;"_VALUE",'Уставки конфигурация'!$A$5:$B$8,2,FALSE())</f>
        <v>10000</v>
      </c>
      <c r="F6" s="16" t="str">
        <f aca="false">IF(C6="LOAD_MAX_ALARM",IF(D6&gt;E6,"Да","Нет"),IF(C6="LOAD_MIN_ALARM",IF(D6&lt;E6,"Да","Нет"),IF(OR(C6="SSK_ALARM",C6="SSK_WARNING"),IF(D6&gt;E6,"Да","Нет"),"?")))</f>
        <v>Нет</v>
      </c>
    </row>
    <row r="7" customFormat="false" ht="15" hidden="false" customHeight="true" outlineLevel="0" collapsed="false">
      <c r="A7" s="15" t="s">
        <v>32</v>
      </c>
      <c r="B7" s="15" t="s">
        <v>98</v>
      </c>
      <c r="C7" s="15" t="s">
        <v>97</v>
      </c>
      <c r="D7" s="15" t="n">
        <v>10250</v>
      </c>
      <c r="E7" s="16" t="n">
        <f aca="false">VLOOKUP(C7&amp;"_VALUE",'Уставки конфигурация'!$A$5:$B$8,2,FALSE())</f>
        <v>10000</v>
      </c>
      <c r="F7" s="16" t="str">
        <f aca="false">IF(C7="LOAD_MAX_ALARM",IF(D7&gt;E7,"Да","Нет"),IF(C7="LOAD_MIN_ALARM",IF(D7&lt;E7,"Да","Нет"),IF(OR(C7="SSK_ALARM",C7="SSK_WARNING"),IF(D7&gt;E7,"Да","Нет"),"?")))</f>
        <v>Да</v>
      </c>
    </row>
    <row r="8" customFormat="false" ht="15" hidden="false" customHeight="true" outlineLevel="0" collapsed="false">
      <c r="A8" s="15" t="s">
        <v>34</v>
      </c>
      <c r="B8" s="15" t="s">
        <v>99</v>
      </c>
      <c r="C8" s="15" t="s">
        <v>100</v>
      </c>
      <c r="D8" s="15" t="n">
        <v>-10500</v>
      </c>
      <c r="E8" s="16" t="n">
        <f aca="false">VLOOKUP(C8&amp;"_VALUE",'Уставки конфигурация'!$A$5:$B$8,2,FALSE())</f>
        <v>-10000</v>
      </c>
      <c r="F8" s="16" t="str">
        <f aca="false">IF(C8="LOAD_MAX_ALARM",IF(D8&gt;E8,"Да","Нет"),IF(C8="LOAD_MIN_ALARM",IF(D8&lt;E8,"Да","Нет"),IF(OR(C8="SSK_ALARM",C8="SSK_WARNING"),IF(D8&gt;E8,"Да","Нет"),"?")))</f>
        <v>Да</v>
      </c>
    </row>
    <row r="9" customFormat="false" ht="15" hidden="false" customHeight="true" outlineLevel="0" collapsed="false">
      <c r="A9" s="15" t="s">
        <v>34</v>
      </c>
      <c r="B9" s="15" t="s">
        <v>101</v>
      </c>
      <c r="C9" s="15" t="s">
        <v>100</v>
      </c>
      <c r="D9" s="15" t="n">
        <v>-9200</v>
      </c>
      <c r="E9" s="16" t="n">
        <f aca="false">VLOOKUP(C9&amp;"_VALUE",'Уставки конфигурация'!$A$5:$B$8,2,FALSE())</f>
        <v>-10000</v>
      </c>
      <c r="F9" s="16" t="str">
        <f aca="false">IF(C9="LOAD_MAX_ALARM",IF(D9&gt;E9,"Да","Нет"),IF(C9="LOAD_MIN_ALARM",IF(D9&lt;E9,"Да","Нет"),IF(OR(C9="SSK_ALARM",C9="SSK_WARNING"),IF(D9&gt;E9,"Да","Нет"),"?")))</f>
        <v>Нет</v>
      </c>
    </row>
    <row r="10" customFormat="false" ht="15" hidden="false" customHeight="true" outlineLevel="0" collapsed="false">
      <c r="A10" s="15" t="s">
        <v>38</v>
      </c>
      <c r="B10" s="15" t="s">
        <v>102</v>
      </c>
      <c r="C10" s="15" t="s">
        <v>103</v>
      </c>
      <c r="D10" s="15" t="n">
        <v>95</v>
      </c>
      <c r="E10" s="16" t="n">
        <f aca="false">VLOOKUP(C10&amp;"_VALUE",'Уставки конфигурация'!$A$5:$B$8,2,FALSE())</f>
        <v>100</v>
      </c>
      <c r="F10" s="16" t="str">
        <f aca="false">IF(C10="LOAD_MAX_ALARM",IF(D10&gt;E10,"Да","Нет"),IF(C10="LOAD_MIN_ALARM",IF(D10&lt;E10,"Да","Нет"),IF(OR(C10="SSK_ALARM",C10="SSK_WARNING"),IF(D10&gt;E10,"Да","Нет"),"?")))</f>
        <v>Нет</v>
      </c>
    </row>
    <row r="11" customFormat="false" ht="15" hidden="false" customHeight="true" outlineLevel="0" collapsed="false">
      <c r="A11" s="15" t="s">
        <v>38</v>
      </c>
      <c r="B11" s="15" t="s">
        <v>104</v>
      </c>
      <c r="C11" s="15" t="s">
        <v>103</v>
      </c>
      <c r="D11" s="15" t="n">
        <v>104</v>
      </c>
      <c r="E11" s="16" t="n">
        <f aca="false">VLOOKUP(C11&amp;"_VALUE",'Уставки конфигурация'!$A$5:$B$8,2,FALSE())</f>
        <v>100</v>
      </c>
      <c r="F11" s="16" t="str">
        <f aca="false">IF(C11="LOAD_MAX_ALARM",IF(D11&gt;E11,"Да","Нет"),IF(C11="LOAD_MIN_ALARM",IF(D11&lt;E11,"Да","Нет"),IF(OR(C11="SSK_ALARM",C11="SSK_WARNING"),IF(D11&gt;E11,"Да","Нет"),"?")))</f>
        <v>Да</v>
      </c>
    </row>
    <row r="12" customFormat="false" ht="15" hidden="false" customHeight="true" outlineLevel="0" collapsed="false">
      <c r="A12" s="15" t="s">
        <v>38</v>
      </c>
      <c r="B12" s="15" t="s">
        <v>36</v>
      </c>
      <c r="C12" s="15" t="s">
        <v>105</v>
      </c>
      <c r="D12" s="15" t="n">
        <v>92</v>
      </c>
      <c r="E12" s="16" t="n">
        <f aca="false">VLOOKUP(C12&amp;"_VALUE",'Уставки конфигурация'!$A$5:$B$8,2,FALSE())</f>
        <v>90</v>
      </c>
      <c r="F12" s="16" t="str">
        <f aca="false">IF(C12="LOAD_MAX_ALARM",IF(D12&gt;E12,"Да","Нет"),IF(C12="LOAD_MIN_ALARM",IF(D12&lt;E12,"Да","Нет"),IF(OR(C12="SSK_ALARM",C12="SSK_WARNING"),IF(D12&gt;E12,"Да","Нет"),"?")))</f>
        <v>Да</v>
      </c>
    </row>
    <row r="13" customFormat="false" ht="15" hidden="false" customHeight="true" outlineLevel="0" collapsed="false">
      <c r="A13" s="15" t="s">
        <v>41</v>
      </c>
      <c r="B13" s="15" t="s">
        <v>106</v>
      </c>
      <c r="C13" s="15" t="s">
        <v>105</v>
      </c>
      <c r="D13" s="15" t="n">
        <v>88</v>
      </c>
      <c r="E13" s="16" t="n">
        <f aca="false">VLOOKUP(C13&amp;"_VALUE",'Уставки конфигурация'!$A$5:$B$8,2,FALSE())</f>
        <v>90</v>
      </c>
      <c r="F13" s="16" t="str">
        <f aca="false">IF(C13="LOAD_MAX_ALARM",IF(D13&gt;E13,"Да","Нет"),IF(C13="LOAD_MIN_ALARM",IF(D13&lt;E13,"Да","Нет"),IF(OR(C13="SSK_ALARM",C13="SSK_WARNING"),IF(D13&gt;E13,"Да","Нет"),"?")))</f>
        <v>Нет</v>
      </c>
    </row>
    <row r="14" customFormat="false" ht="15" hidden="false" customHeight="true" outlineLevel="0" collapsed="false">
      <c r="A14" s="15" t="s">
        <v>43</v>
      </c>
      <c r="B14" s="15" t="s">
        <v>107</v>
      </c>
      <c r="C14" s="15" t="s">
        <v>97</v>
      </c>
      <c r="D14" s="15" t="n">
        <v>10120</v>
      </c>
      <c r="E14" s="16" t="n">
        <f aca="false">VLOOKUP(C14&amp;"_VALUE",'Уставки конфигурация'!$A$5:$B$8,2,FALSE())</f>
        <v>10000</v>
      </c>
      <c r="F14" s="16" t="str">
        <f aca="false">IF(C14="LOAD_MAX_ALARM",IF(D14&gt;E14,"Да","Нет"),IF(C14="LOAD_MIN_ALARM",IF(D14&lt;E14,"Да","Нет"),IF(OR(C14="SSK_ALARM",C14="SSK_WARNING"),IF(D14&gt;E14,"Да","Нет"),"?")))</f>
        <v>Да</v>
      </c>
    </row>
    <row r="15" customFormat="false" ht="15" hidden="false" customHeight="true" outlineLevel="0" collapsed="false">
      <c r="A15" s="15" t="s">
        <v>43</v>
      </c>
      <c r="B15" s="15" t="s">
        <v>108</v>
      </c>
      <c r="C15" s="15" t="s">
        <v>103</v>
      </c>
      <c r="D15" s="15" t="n">
        <v>101</v>
      </c>
      <c r="E15" s="16" t="n">
        <f aca="false">VLOOKUP(C15&amp;"_VALUE",'Уставки конфигурация'!$A$5:$B$8,2,FALSE())</f>
        <v>100</v>
      </c>
      <c r="F15" s="16" t="str">
        <f aca="false">IF(C15="LOAD_MAX_ALARM",IF(D15&gt;E15,"Да","Нет"),IF(C15="LOAD_MIN_ALARM",IF(D15&lt;E15,"Да","Нет"),IF(OR(C15="SSK_ALARM",C15="SSK_WARNING"),IF(D15&gt;E15,"Да","Нет"),"?")))</f>
        <v>Да</v>
      </c>
    </row>
  </sheetData>
  <conditionalFormatting sqref="F6:F15">
    <cfRule type="expression" priority="2" aboveAverage="0" equalAverage="0" bottom="0" percent="0" rank="0" text="" dxfId="0">
      <formula>F6="Да"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</cols>
  <sheetData>
    <row r="1" customFormat="false" ht="15.75" hidden="false" customHeight="true" outlineLevel="0" collapsed="false">
      <c r="A1" s="2" t="s">
        <v>109</v>
      </c>
    </row>
    <row r="3" customFormat="false" ht="15" hidden="false" customHeight="true" outlineLevel="0" collapsed="false">
      <c r="A3" s="10" t="s">
        <v>110</v>
      </c>
    </row>
    <row r="4" customFormat="false" ht="15" hidden="false" customHeight="true" outlineLevel="0" collapsed="false">
      <c r="A4" s="13" t="s">
        <v>27</v>
      </c>
      <c r="B4" s="13" t="s">
        <v>111</v>
      </c>
    </row>
    <row r="5" customFormat="false" ht="15" hidden="false" customHeight="true" outlineLevel="0" collapsed="false">
      <c r="A5" s="16" t="s">
        <v>32</v>
      </c>
      <c r="B5" s="16" t="n">
        <f aca="false">SUMPRODUCT(('Журнал уставок'!A$6:A$15=A5)*('Журнал уставок'!F$6:F$15="Да"))</f>
        <v>1</v>
      </c>
    </row>
    <row r="6" customFormat="false" ht="15" hidden="false" customHeight="true" outlineLevel="0" collapsed="false">
      <c r="A6" s="16" t="s">
        <v>34</v>
      </c>
      <c r="B6" s="16" t="n">
        <f aca="false">SUMPRODUCT(('Журнал уставок'!A$6:A$15=A6)*('Журнал уставок'!F$6:F$15="Да"))</f>
        <v>1</v>
      </c>
    </row>
    <row r="7" customFormat="false" ht="15" hidden="false" customHeight="true" outlineLevel="0" collapsed="false">
      <c r="A7" s="16" t="s">
        <v>38</v>
      </c>
      <c r="B7" s="16" t="n">
        <f aca="false">SUMPRODUCT(('Журнал уставок'!A$6:A$15=A7)*('Журнал уставок'!F$6:F$15="Да"))</f>
        <v>2</v>
      </c>
    </row>
    <row r="8" customFormat="false" ht="15" hidden="false" customHeight="true" outlineLevel="0" collapsed="false">
      <c r="A8" s="16" t="s">
        <v>41</v>
      </c>
      <c r="B8" s="16" t="n">
        <f aca="false">SUMPRODUCT(('Журнал уставок'!A$6:A$15=A8)*('Журнал уставок'!F$6:F$15="Да"))</f>
        <v>0</v>
      </c>
    </row>
    <row r="9" customFormat="false" ht="15" hidden="false" customHeight="true" outlineLevel="0" collapsed="false">
      <c r="A9" s="16" t="s">
        <v>43</v>
      </c>
      <c r="B9" s="16" t="n">
        <f aca="false">SUMPRODUCT(('Журнал уставок'!A$6:A$15=A9)*('Журнал уставок'!F$6:F$15="Да"))</f>
        <v>2</v>
      </c>
    </row>
    <row r="12" customFormat="false" ht="15" hidden="false" customHeight="true" outlineLevel="0" collapsed="false">
      <c r="A12" s="10" t="s">
        <v>112</v>
      </c>
    </row>
    <row r="13" customFormat="false" ht="15" hidden="false" customHeight="true" outlineLevel="0" collapsed="false">
      <c r="A13" s="13" t="s">
        <v>92</v>
      </c>
      <c r="B13" s="13" t="s">
        <v>111</v>
      </c>
    </row>
    <row r="14" customFormat="false" ht="15" hidden="false" customHeight="true" outlineLevel="0" collapsed="false">
      <c r="A14" s="16" t="s">
        <v>97</v>
      </c>
      <c r="B14" s="16" t="n">
        <f aca="false">SUMPRODUCT(('Журнал уставок'!C$6:C$15=A14)*('Журнал уставок'!F$6:F$15="Да"))</f>
        <v>2</v>
      </c>
    </row>
    <row r="15" customFormat="false" ht="15" hidden="false" customHeight="true" outlineLevel="0" collapsed="false">
      <c r="A15" s="16" t="s">
        <v>100</v>
      </c>
      <c r="B15" s="16" t="n">
        <f aca="false">SUMPRODUCT(('Журнал уставок'!C$6:C$15=A15)*('Журнал уставок'!F$6:F$15="Да"))</f>
        <v>1</v>
      </c>
    </row>
    <row r="16" customFormat="false" ht="15" hidden="false" customHeight="true" outlineLevel="0" collapsed="false">
      <c r="A16" s="16" t="s">
        <v>103</v>
      </c>
      <c r="B16" s="16" t="n">
        <f aca="false">SUMPRODUCT(('Журнал уставок'!C$6:C$15=A16)*('Журнал уставок'!F$6:F$15="Да"))</f>
        <v>2</v>
      </c>
    </row>
    <row r="17" customFormat="false" ht="15" hidden="false" customHeight="true" outlineLevel="0" collapsed="false">
      <c r="A17" s="16" t="s">
        <v>105</v>
      </c>
      <c r="B17" s="16" t="n">
        <f aca="false">SUMPRODUCT(('Журнал уставок'!C$6:C$15=A17)*('Журнал уставок'!F$6:F$15="Да"))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2026-06-19T03:05:31Z</dcterms:created>
  <dc:creator>openpyxl</dc:creator>
  <dc:description/>
  <dc:language>en-US</dc:language>
  <cp:lastModifiedBy/>
  <dcterms:modified xsi:type="dcterms:W3CDTF">2026-06-19T03:06:01Z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