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урнал простоев" sheetId="1" state="visible" r:id="rId3"/>
    <sheet name="Простои Дашборд" sheetId="2" state="visible" r:id="rId4"/>
    <sheet name="Журнал электро" sheetId="3" state="visible" r:id="rId5"/>
    <sheet name="Электро Дашбор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<sst xmlns="http://schemas.openxmlformats.org/spreadsheetml/2006/main" count="150" uniqueCount="51">
  <si>
    <t xml:space="preserve">Журнал остановок скважин (источник: PRICHINA_STOP, DTL_TIME_IN_STOP)</t>
  </si>
  <si>
    <t xml:space="preserve">Справочник кодов причин (заполнить по факту с начальником АСУ ТП):</t>
  </si>
  <si>
    <t xml:space="preserve">Код</t>
  </si>
  <si>
    <t xml:space="preserve">Причина</t>
  </si>
  <si>
    <t xml:space="preserve">Выкл. питания</t>
  </si>
  <si>
    <t xml:space="preserve">Авария по нагрузке</t>
  </si>
  <si>
    <t xml:space="preserve">Парафиноотложение</t>
  </si>
  <si>
    <t xml:space="preserve">Плановый ремонт (ПРС)</t>
  </si>
  <si>
    <t xml:space="preserve">Авария ТМС</t>
  </si>
  <si>
    <t xml:space="preserve">Скважина</t>
  </si>
  <si>
    <t xml:space="preserve">Дата остановки</t>
  </si>
  <si>
    <t xml:space="preserve">Код причины</t>
  </si>
  <si>
    <t xml:space="preserve">Причина (расшифровка)</t>
  </si>
  <si>
    <t xml:space="preserve">Длительность простоя, час</t>
  </si>
  <si>
    <t xml:space="preserve">СХ-23</t>
  </si>
  <si>
    <t xml:space="preserve">07.06.2026</t>
  </si>
  <si>
    <t xml:space="preserve">СХ-30</t>
  </si>
  <si>
    <t xml:space="preserve">04.06.2026</t>
  </si>
  <si>
    <t xml:space="preserve">14.06.2026</t>
  </si>
  <si>
    <t xml:space="preserve">16.06.2026</t>
  </si>
  <si>
    <t xml:space="preserve">СХ-15</t>
  </si>
  <si>
    <t xml:space="preserve">10.06.2026</t>
  </si>
  <si>
    <t xml:space="preserve">13.06.2026</t>
  </si>
  <si>
    <t xml:space="preserve">СХ-16</t>
  </si>
  <si>
    <t xml:space="preserve">01.06.2026</t>
  </si>
  <si>
    <t xml:space="preserve">СХ-29</t>
  </si>
  <si>
    <t xml:space="preserve">Дашборд: простои и причины остановок</t>
  </si>
  <si>
    <t xml:space="preserve">Период анализа (для справки)</t>
  </si>
  <si>
    <t xml:space="preserve">01.06.2026 - 16.06.2026</t>
  </si>
  <si>
    <t xml:space="preserve">Сводка по скважинам</t>
  </si>
  <si>
    <t xml:space="preserve">Кол-во остановок</t>
  </si>
  <si>
    <t xml:space="preserve">Суммарный простой, час</t>
  </si>
  <si>
    <t xml:space="preserve">Средняя длительность, час</t>
  </si>
  <si>
    <t xml:space="preserve">Доля времени в простое за период, %</t>
  </si>
  <si>
    <t xml:space="preserve">Парето-анализ причин остановок</t>
  </si>
  <si>
    <t xml:space="preserve">Суммарно, час</t>
  </si>
  <si>
    <t xml:space="preserve">Доля, %</t>
  </si>
  <si>
    <t xml:space="preserve">Накопленная доля, %</t>
  </si>
  <si>
    <t xml:space="preserve">Журнал электрических параметров (ACTIVE_POWER, DISBALANCE_AMP)</t>
  </si>
  <si>
    <t xml:space="preserve">Дата</t>
  </si>
  <si>
    <t xml:space="preserve">Активная мощность, кВт</t>
  </si>
  <si>
    <t xml:space="preserve">Дисбаланс токов, %</t>
  </si>
  <si>
    <t xml:space="preserve">Дебит нефти за дату, т/сут</t>
  </si>
  <si>
    <t xml:space="preserve">Удельная мощность, кВт/т</t>
  </si>
  <si>
    <t xml:space="preserve">Статус</t>
  </si>
  <si>
    <t xml:space="preserve">Дашборд: электрические параметры и энергоэффективность</t>
  </si>
  <si>
    <t xml:space="preserve">Рейтинг скважин по удельному энергопотреблению</t>
  </si>
  <si>
    <t xml:space="preserve">Средняя мощность, кВт</t>
  </si>
  <si>
    <t xml:space="preserve">Средний дебит нефти, т/сут</t>
  </si>
  <si>
    <t xml:space="preserve">Макс. дисбаланс токов, %</t>
  </si>
  <si>
    <t xml:space="preserve">Тренд дисбаланса токов по датам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</si>
</sst>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CE4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Суммарный простой по скважинам, час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'Простои Дашборд'!C7</c:f>
              <c:strCache>
                <c:ptCount val="1"/>
                <c:pt idx="0">
                  <c:v>Суммарный простой, час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Дашборд'!$A$8:$A$12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'Простои Дашборд'!$C$8:$C$12</c:f>
              <c:numCache>
                <c:formatCode>0.0</c:formatCode>
                <c:ptCount val="5"/>
                <c:pt idx="0">
                  <c:v>1</c:v>
                </c:pt>
                <c:pt idx="1">
                  <c:v>15</c:v>
                </c:pt>
                <c:pt idx="2">
                  <c:v>18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</c:ser>
        <c:gapWidth val="150"/>
        <c:overlap val="0"/>
        <c:axId val="23155079"/>
        <c:axId val="99686016"/>
      </c:barChart>
      <c:catAx>
        <c:axId val="23155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86016"/>
        <c:crosses val="autoZero"/>
        <c:auto val="1"/>
        <c:lblAlgn val="ctr"/>
        <c:lblOffset val="100"/>
        <c:noMultiLvlLbl val="0"/>
      </c:catAx>
      <c:valAx>
        <c:axId val="99686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55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Простои по причинам, час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'Простои Дашборд'!B16</c:f>
              <c:strCache>
                <c:ptCount val="1"/>
                <c:pt idx="0">
                  <c:v>Суммарно, час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Дашборд'!$A$17:$A$21</c:f>
              <c:strCache>
                <c:ptCount val="5"/>
                <c:pt idx="0">
                  <c:v>Выкл. питания</c:v>
                </c:pt>
                <c:pt idx="1">
                  <c:v>Авария по нагрузке</c:v>
                </c:pt>
                <c:pt idx="2">
                  <c:v>Парафиноотложение</c:v>
                </c:pt>
                <c:pt idx="3">
                  <c:v>Плановый ремонт (ПРС)</c:v>
                </c:pt>
                <c:pt idx="4">
                  <c:v>Авария ТМС</c:v>
                </c:pt>
              </c:strCache>
            </c:strRef>
          </c:cat>
          <c:val>
            <c:numRef>
              <c:f>'Простои Дашборд'!$B$17:$B$21</c:f>
              <c:numCache>
                <c:formatCode>0.0</c:formatCode>
                <c:ptCount val="5"/>
                <c:pt idx="0">
                  <c:v>2</c:v>
                </c:pt>
                <c:pt idx="1">
                  <c:v>11</c:v>
                </c:pt>
                <c:pt idx="2">
                  <c:v>7</c:v>
                </c:pt>
                <c:pt idx="3">
                  <c:v>20</c:v>
                </c:pt>
                <c:pt idx="4">
                  <c:v>18</c:v>
                </c:pt>
              </c:numCache>
            </c:numRef>
          </c:val>
        </c:ser>
        <c:gapWidth val="150"/>
        <c:overlap val="0"/>
        <c:axId val="75479367"/>
        <c:axId val="18390042"/>
      </c:barChart>
      <c:catAx>
        <c:axId val="75479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90042"/>
        <c:crosses val="autoZero"/>
        <c:auto val="1"/>
        <c:lblAlgn val="ctr"/>
        <c:lblOffset val="100"/>
        <c:noMultiLvlLbl val="0"/>
      </c:catAx>
      <c:valAx>
        <c:axId val="18390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79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Накопленная доля простоев,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'Простои Дашборд'!D16</c:f>
              <c:strCache>
                <c:ptCount val="1"/>
                <c:pt idx="0">
                  <c:v>Накопленная доля,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Дашборд'!$A$17:$A$21</c:f>
              <c:strCache>
                <c:ptCount val="5"/>
                <c:pt idx="0">
                  <c:v>Выкл. питания</c:v>
                </c:pt>
                <c:pt idx="1">
                  <c:v>Авария по нагрузке</c:v>
                </c:pt>
                <c:pt idx="2">
                  <c:v>Парафиноотложение</c:v>
                </c:pt>
                <c:pt idx="3">
                  <c:v>Плановый ремонт (ПРС)</c:v>
                </c:pt>
                <c:pt idx="4">
                  <c:v>Авария ТМС</c:v>
                </c:pt>
              </c:strCache>
            </c:strRef>
          </c:cat>
          <c:val>
            <c:numRef>
              <c:f>'Простои Дашборд'!$D$17:$D$21</c:f>
              <c:numCache>
                <c:formatCode>0.0</c:formatCode>
                <c:ptCount val="5"/>
                <c:pt idx="0">
                  <c:v>100</c:v>
                </c:pt>
                <c:pt idx="1">
                  <c:v>84.4827586206897</c:v>
                </c:pt>
                <c:pt idx="2">
                  <c:v>96.551724137931</c:v>
                </c:pt>
                <c:pt idx="3">
                  <c:v>34.4827586206897</c:v>
                </c:pt>
                <c:pt idx="4">
                  <c:v>65.5172413793104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076365"/>
        <c:axId val="71811603"/>
      </c:lineChart>
      <c:catAx>
        <c:axId val="500763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11603"/>
        <c:crosses val="autoZero"/>
        <c:auto val="1"/>
        <c:lblAlgn val="ctr"/>
        <c:lblOffset val="100"/>
        <c:noMultiLvlLbl val="0"/>
      </c:catAx>
      <c:valAx>
        <c:axId val="71811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76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Дисбаланс токов по скважинам,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'Электро Дашборд'!B13</c:f>
              <c:strCache>
                <c:ptCount val="1"/>
                <c:pt idx="0">
                  <c:v>СХ-23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Дашборд'!$A$14:$A$19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Дашборд'!$B$14:$B$19</c:f>
              <c:numCache>
                <c:formatCode>0.0</c:formatCode>
                <c:ptCount val="6"/>
                <c:pt idx="0">
                  <c:v>1.2</c:v>
                </c:pt>
                <c:pt idx="1">
                  <c:v>1.3</c:v>
                </c:pt>
                <c:pt idx="2">
                  <c:v>1.1</c:v>
                </c:pt>
                <c:pt idx="3">
                  <c:v>1.4</c:v>
                </c:pt>
                <c:pt idx="4">
                  <c:v>1.2</c:v>
                </c:pt>
                <c:pt idx="5">
                  <c:v>1.3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'Электро Дашборд'!C13</c:f>
              <c:strCache>
                <c:ptCount val="1"/>
                <c:pt idx="0">
                  <c:v>СХ-30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Дашборд'!$A$14:$A$19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Дашборд'!$C$14:$C$19</c:f>
              <c:numCache>
                <c:formatCode>0.0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'Электро Дашборд'!D13</c:f>
              <c:strCache>
                <c:ptCount val="1"/>
                <c:pt idx="0">
                  <c:v>СХ-15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Дашборд'!$A$14:$A$19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Дашборд'!$D$14:$D$19</c:f>
              <c:numCache>
                <c:formatCode>0.0</c:formatCode>
                <c:ptCount val="6"/>
                <c:pt idx="0">
                  <c:v>1</c:v>
                </c:pt>
                <c:pt idx="1">
                  <c:v>1.1</c:v>
                </c:pt>
                <c:pt idx="2">
                  <c:v>1</c:v>
                </c:pt>
                <c:pt idx="3">
                  <c:v>1.2</c:v>
                </c:pt>
                <c:pt idx="4">
                  <c:v>1.1</c:v>
                </c:pt>
                <c:pt idx="5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'Электро Дашборд'!E13</c:f>
              <c:strCache>
                <c:ptCount val="1"/>
                <c:pt idx="0">
                  <c:v>СХ-16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Дашборд'!$A$14:$A$19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Дашборд'!$E$14:$E$19</c:f>
              <c:numCache>
                <c:formatCode>0.0</c:formatCode>
                <c:ptCount val="6"/>
                <c:pt idx="0">
                  <c:v>1.8</c:v>
                </c:pt>
                <c:pt idx="1">
                  <c:v>1.7</c:v>
                </c:pt>
                <c:pt idx="2">
                  <c:v>1.9</c:v>
                </c:pt>
                <c:pt idx="3">
                  <c:v>1.8</c:v>
                </c:pt>
                <c:pt idx="4">
                  <c:v>1.7</c:v>
                </c:pt>
                <c:pt idx="5">
                  <c:v>1.8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'Электро Дашборд'!F13</c:f>
              <c:strCache>
                <c:ptCount val="1"/>
                <c:pt idx="0">
                  <c:v>СХ-29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Дашборд'!$A$14:$A$19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Дашборд'!$F$14:$F$19</c:f>
              <c:numCache>
                <c:formatCode>0.0</c:formatCode>
                <c:ptCount val="6"/>
                <c:pt idx="0">
                  <c:v>2</c:v>
                </c:pt>
                <c:pt idx="1">
                  <c:v>1.9</c:v>
                </c:pt>
                <c:pt idx="2">
                  <c:v>1.8</c:v>
                </c:pt>
                <c:pt idx="3">
                  <c:v>1.6</c:v>
                </c:pt>
                <c:pt idx="4">
                  <c:v>1.5</c:v>
                </c:pt>
                <c:pt idx="5">
                  <c:v>1.4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504739"/>
        <c:axId val="56290988"/>
      </c:lineChart>
      <c:catAx>
        <c:axId val="245047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90988"/>
        <c:crosses val="autoZero"/>
        <c:auto val="1"/>
        <c:lblAlgn val="ctr"/>
        <c:lblOffset val="100"/>
        <c:noMultiLvlLbl val="0"/>
      </c:catAx>
      <c:valAx>
        <c:axId val="56290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04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Удельная мощность по скважинам, кВт/т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'Электро Дашборд'!D4</c:f>
              <c:strCache>
                <c:ptCount val="1"/>
                <c:pt idx="0">
                  <c:v>Удельная мощность, кВт/т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Дашборд'!$A$5:$A$9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'Электро Дашборд'!$D$5:$D$9</c:f>
              <c:numCache>
                <c:formatCode>0.00</c:formatCode>
                <c:ptCount val="5"/>
                <c:pt idx="0">
                  <c:v>0.693344566133109</c:v>
                </c:pt>
                <c:pt idx="1">
                  <c:v>0.7375</c:v>
                </c:pt>
                <c:pt idx="2">
                  <c:v>0.931896551724138</c:v>
                </c:pt>
                <c:pt idx="3">
                  <c:v>0.834444444444444</c:v>
                </c:pt>
                <c:pt idx="4">
                  <c:v>0.920987654320988</c:v>
                </c:pt>
              </c:numCache>
            </c:numRef>
          </c:val>
        </c:ser>
        <c:gapWidth val="150"/>
        <c:overlap val="0"/>
        <c:axId val="62818387"/>
        <c:axId val="10471041"/>
      </c:barChart>
      <c:catAx>
        <c:axId val="628183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71041"/>
        <c:crosses val="autoZero"/>
        <c:auto val="1"/>
        <c:lblAlgn val="ctr"/>
        <c:lblOffset val="100"/>
        <c:noMultiLvlLbl val="0"/>
      </c:catAx>
      <c:valAx>
        <c:axId val="10471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18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176040</xdr:rowOff>
    </xdr:from>
    <xdr:to>
      <xdr:col>15</xdr:col>
      <xdr:colOff>255600</xdr:colOff>
      <xdr:row>20</xdr:row>
      <xdr:rowOff>6840</xdr:rowOff>
    </xdr:to>
    <xdr:graphicFrame>
      <xdr:nvGraphicFramePr>
        <xdr:cNvPr id="0" name="Chart 1"/>
        <xdr:cNvGraphicFramePr/>
      </xdr:nvGraphicFramePr>
      <xdr:xfrm>
        <a:off x="9069840" y="94752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175680</xdr:rowOff>
    </xdr:from>
    <xdr:to>
      <xdr:col>15</xdr:col>
      <xdr:colOff>255600</xdr:colOff>
      <xdr:row>29</xdr:row>
      <xdr:rowOff>6840</xdr:rowOff>
    </xdr:to>
    <xdr:graphicFrame>
      <xdr:nvGraphicFramePr>
        <xdr:cNvPr id="1" name="Chart 2"/>
        <xdr:cNvGraphicFramePr/>
      </xdr:nvGraphicFramePr>
      <xdr:xfrm>
        <a:off x="9069840" y="26618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175680</xdr:rowOff>
    </xdr:from>
    <xdr:to>
      <xdr:col>15</xdr:col>
      <xdr:colOff>255600</xdr:colOff>
      <xdr:row>47</xdr:row>
      <xdr:rowOff>6840</xdr:rowOff>
    </xdr:to>
    <xdr:graphicFrame>
      <xdr:nvGraphicFramePr>
        <xdr:cNvPr id="2" name="Chart 3"/>
        <xdr:cNvGraphicFramePr/>
      </xdr:nvGraphicFramePr>
      <xdr:xfrm>
        <a:off x="9069840" y="60908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176040</xdr:rowOff>
    </xdr:from>
    <xdr:to>
      <xdr:col>17</xdr:col>
      <xdr:colOff>363960</xdr:colOff>
      <xdr:row>18</xdr:row>
      <xdr:rowOff>6840</xdr:rowOff>
    </xdr:to>
    <xdr:graphicFrame>
      <xdr:nvGraphicFramePr>
        <xdr:cNvPr id="3" name="Chart 1"/>
        <xdr:cNvGraphicFramePr/>
      </xdr:nvGraphicFramePr>
      <xdr:xfrm>
        <a:off x="9351720" y="566640"/>
        <a:ext cx="647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176040</xdr:rowOff>
    </xdr:from>
    <xdr:to>
      <xdr:col>17</xdr:col>
      <xdr:colOff>363960</xdr:colOff>
      <xdr:row>27</xdr:row>
      <xdr:rowOff>6840</xdr:rowOff>
    </xdr:to>
    <xdr:graphicFrame>
      <xdr:nvGraphicFramePr>
        <xdr:cNvPr id="4" name="Chart 2"/>
        <xdr:cNvGraphicFramePr/>
      </xdr:nvGraphicFramePr>
      <xdr:xfrm>
        <a:off x="9351720" y="2280960"/>
        <a:ext cx="64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2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n">
        <v>1</v>
      </c>
      <c r="B5" s="5" t="s">
        <v>4</v>
      </c>
    </row>
    <row r="6" customFormat="false" ht="15" hidden="false" customHeight="true" outlineLevel="0" collapsed="false">
      <c r="A6" s="5" t="n">
        <v>2</v>
      </c>
      <c r="B6" s="5" t="s">
        <v>5</v>
      </c>
    </row>
    <row r="7" customFormat="false" ht="15" hidden="false" customHeight="true" outlineLevel="0" collapsed="false">
      <c r="A7" s="5" t="n">
        <v>3</v>
      </c>
      <c r="B7" s="5" t="s">
        <v>6</v>
      </c>
    </row>
    <row r="8" customFormat="false" ht="15" hidden="false" customHeight="true" outlineLevel="0" collapsed="false">
      <c r="A8" s="5" t="n">
        <v>4</v>
      </c>
      <c r="B8" s="5" t="s">
        <v>7</v>
      </c>
    </row>
    <row r="9" customFormat="false" ht="15" hidden="false" customHeight="true" outlineLevel="0" collapsed="false">
      <c r="A9" s="5" t="n">
        <v>5</v>
      </c>
      <c r="B9" s="5" t="s">
        <v>8</v>
      </c>
    </row>
    <row r="12" customFormat="false" ht="15" hidden="false" customHeight="true" outlineLevel="0" collapsed="false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</row>
    <row r="13" customFormat="false" ht="15" hidden="false" customHeight="true" outlineLevel="0" collapsed="false">
      <c r="A13" s="5" t="s">
        <v>14</v>
      </c>
      <c r="B13" s="5" t="s">
        <v>15</v>
      </c>
      <c r="C13" s="5" t="n">
        <v>1</v>
      </c>
      <c r="D13" s="6" t="str">
        <f aca="false">VLOOKUP(C13,$A$5:$B$9,2,FALSE())</f>
        <v>Выкл. питания</v>
      </c>
      <c r="E13" s="5" t="n">
        <v>1</v>
      </c>
    </row>
    <row r="14" customFormat="false" ht="15" hidden="false" customHeight="true" outlineLevel="0" collapsed="false">
      <c r="A14" s="5" t="s">
        <v>16</v>
      </c>
      <c r="B14" s="5" t="s">
        <v>17</v>
      </c>
      <c r="C14" s="5" t="n">
        <v>2</v>
      </c>
      <c r="D14" s="6" t="str">
        <f aca="false">VLOOKUP(C14,$A$5:$B$9,2,FALSE())</f>
        <v>Авария по нагрузке</v>
      </c>
      <c r="E14" s="5" t="n">
        <v>6</v>
      </c>
    </row>
    <row r="15" customFormat="false" ht="15" hidden="false" customHeight="true" outlineLevel="0" collapsed="false">
      <c r="A15" s="5" t="s">
        <v>16</v>
      </c>
      <c r="B15" s="5" t="s">
        <v>18</v>
      </c>
      <c r="C15" s="5" t="n">
        <v>3</v>
      </c>
      <c r="D15" s="6" t="str">
        <f aca="false">VLOOKUP(C15,$A$5:$B$9,2,FALSE())</f>
        <v>Парафиноотложение</v>
      </c>
      <c r="E15" s="5" t="n">
        <v>4</v>
      </c>
    </row>
    <row r="16" customFormat="false" ht="15" hidden="false" customHeight="true" outlineLevel="0" collapsed="false">
      <c r="A16" s="5" t="s">
        <v>16</v>
      </c>
      <c r="B16" s="5" t="s">
        <v>19</v>
      </c>
      <c r="C16" s="5" t="n">
        <v>2</v>
      </c>
      <c r="D16" s="6" t="str">
        <f aca="false">VLOOKUP(C16,$A$5:$B$9,2,FALSE())</f>
        <v>Авария по нагрузке</v>
      </c>
      <c r="E16" s="5" t="n">
        <v>5</v>
      </c>
    </row>
    <row r="17" customFormat="false" ht="15" hidden="false" customHeight="true" outlineLevel="0" collapsed="false">
      <c r="A17" s="5" t="s">
        <v>20</v>
      </c>
      <c r="B17" s="5" t="s">
        <v>21</v>
      </c>
      <c r="C17" s="5" t="n">
        <v>5</v>
      </c>
      <c r="D17" s="6" t="str">
        <f aca="false">VLOOKUP(C17,$A$5:$B$9,2,FALSE())</f>
        <v>Авария ТМС</v>
      </c>
      <c r="E17" s="5" t="n">
        <v>10</v>
      </c>
    </row>
    <row r="18" customFormat="false" ht="15" hidden="false" customHeight="true" outlineLevel="0" collapsed="false">
      <c r="A18" s="5" t="s">
        <v>20</v>
      </c>
      <c r="B18" s="5" t="s">
        <v>22</v>
      </c>
      <c r="C18" s="5" t="n">
        <v>5</v>
      </c>
      <c r="D18" s="6" t="str">
        <f aca="false">VLOOKUP(C18,$A$5:$B$9,2,FALSE())</f>
        <v>Авария ТМС</v>
      </c>
      <c r="E18" s="5" t="n">
        <v>8</v>
      </c>
    </row>
    <row r="19" customFormat="false" ht="15" hidden="false" customHeight="true" outlineLevel="0" collapsed="false">
      <c r="A19" s="5" t="s">
        <v>23</v>
      </c>
      <c r="B19" s="5" t="s">
        <v>24</v>
      </c>
      <c r="C19" s="5" t="n">
        <v>1</v>
      </c>
      <c r="D19" s="6" t="str">
        <f aca="false">VLOOKUP(C19,$A$5:$B$9,2,FALSE())</f>
        <v>Выкл. питания</v>
      </c>
      <c r="E19" s="5" t="n">
        <v>1</v>
      </c>
    </row>
    <row r="20" customFormat="false" ht="15" hidden="false" customHeight="true" outlineLevel="0" collapsed="false">
      <c r="A20" s="5" t="s">
        <v>25</v>
      </c>
      <c r="B20" s="5" t="s">
        <v>24</v>
      </c>
      <c r="C20" s="5" t="n">
        <v>4</v>
      </c>
      <c r="D20" s="6" t="str">
        <f aca="false">VLOOKUP(C20,$A$5:$B$9,2,FALSE())</f>
        <v>Плановый ремонт (ПРС)</v>
      </c>
      <c r="E20" s="5" t="n">
        <v>20</v>
      </c>
    </row>
    <row r="21" customFormat="false" ht="15" hidden="false" customHeight="true" outlineLevel="0" collapsed="false">
      <c r="A21" s="5" t="s">
        <v>25</v>
      </c>
      <c r="B21" s="5" t="s">
        <v>21</v>
      </c>
      <c r="C21" s="5" t="n">
        <v>3</v>
      </c>
      <c r="D21" s="6" t="str">
        <f aca="false">VLOOKUP(C21,$A$5:$B$9,2,FALSE())</f>
        <v>Парафиноотложение</v>
      </c>
      <c r="E21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0"/>
  </cols>
  <sheetData>
    <row r="1" customFormat="false" ht="15.75" hidden="false" customHeight="true" outlineLevel="0" collapsed="false">
      <c r="A1" s="2" t="s">
        <v>26</v>
      </c>
    </row>
    <row r="3" customFormat="false" ht="15" hidden="false" customHeight="true" outlineLevel="0" collapsed="false">
      <c r="A3" s="1" t="s">
        <v>27</v>
      </c>
      <c r="C3" s="5" t="s">
        <v>28</v>
      </c>
    </row>
    <row r="6" customFormat="false" ht="15" hidden="false" customHeight="true" outlineLevel="0" collapsed="false">
      <c r="A6" s="7" t="s">
        <v>29</v>
      </c>
    </row>
    <row r="7" customFormat="false" ht="15" hidden="false" customHeight="true" outlineLevel="0" collapsed="false">
      <c r="A7" s="4" t="s">
        <v>9</v>
      </c>
      <c r="B7" s="4" t="s">
        <v>30</v>
      </c>
      <c r="C7" s="4" t="s">
        <v>31</v>
      </c>
      <c r="D7" s="4" t="s">
        <v>32</v>
      </c>
      <c r="E7" s="4" t="s">
        <v>33</v>
      </c>
    </row>
    <row r="8" customFormat="false" ht="15" hidden="false" customHeight="true" outlineLevel="0" collapsed="false">
      <c r="A8" s="6" t="s">
        <v>14</v>
      </c>
      <c r="B8" s="6" t="n">
        <f aca="false">COUNTIF('Журнал простоев'!A$13:A$21,A8)</f>
        <v>1</v>
      </c>
      <c r="C8" s="8" t="n">
        <f aca="false">SUMIF('Журнал простоев'!A$13:A$21,A8,'Журнал простоев'!E$13:E$21)</f>
        <v>1</v>
      </c>
      <c r="D8" s="8" t="n">
        <f aca="false">IF(B8=0,0,C8/B8)</f>
        <v>1</v>
      </c>
      <c r="E8" s="8" t="n">
        <f aca="false">C8/384*100</f>
        <v>0.260416666666667</v>
      </c>
    </row>
    <row r="9" customFormat="false" ht="15" hidden="false" customHeight="true" outlineLevel="0" collapsed="false">
      <c r="A9" s="6" t="s">
        <v>16</v>
      </c>
      <c r="B9" s="6" t="n">
        <f aca="false">COUNTIF('Журнал простоев'!A$13:A$21,A9)</f>
        <v>3</v>
      </c>
      <c r="C9" s="8" t="n">
        <f aca="false">SUMIF('Журнал простоев'!A$13:A$21,A9,'Журнал простоев'!E$13:E$21)</f>
        <v>15</v>
      </c>
      <c r="D9" s="8" t="n">
        <f aca="false">IF(B9=0,0,C9/B9)</f>
        <v>5</v>
      </c>
      <c r="E9" s="8" t="n">
        <f aca="false">C9/384*100</f>
        <v>3.90625</v>
      </c>
    </row>
    <row r="10" customFormat="false" ht="15" hidden="false" customHeight="true" outlineLevel="0" collapsed="false">
      <c r="A10" s="6" t="s">
        <v>20</v>
      </c>
      <c r="B10" s="6" t="n">
        <f aca="false">COUNTIF('Журнал простоев'!A$13:A$21,A10)</f>
        <v>2</v>
      </c>
      <c r="C10" s="8" t="n">
        <f aca="false">SUMIF('Журнал простоев'!A$13:A$21,A10,'Журнал простоев'!E$13:E$21)</f>
        <v>18</v>
      </c>
      <c r="D10" s="8" t="n">
        <f aca="false">IF(B10=0,0,C10/B10)</f>
        <v>9</v>
      </c>
      <c r="E10" s="8" t="n">
        <f aca="false">C10/384*100</f>
        <v>4.6875</v>
      </c>
    </row>
    <row r="11" customFormat="false" ht="15" hidden="false" customHeight="true" outlineLevel="0" collapsed="false">
      <c r="A11" s="6" t="s">
        <v>23</v>
      </c>
      <c r="B11" s="6" t="n">
        <f aca="false">COUNTIF('Журнал простоев'!A$13:A$21,A11)</f>
        <v>1</v>
      </c>
      <c r="C11" s="8" t="n">
        <f aca="false">SUMIF('Журнал простоев'!A$13:A$21,A11,'Журнал простоев'!E$13:E$21)</f>
        <v>1</v>
      </c>
      <c r="D11" s="8" t="n">
        <f aca="false">IF(B11=0,0,C11/B11)</f>
        <v>1</v>
      </c>
      <c r="E11" s="8" t="n">
        <f aca="false">C11/384*100</f>
        <v>0.260416666666667</v>
      </c>
    </row>
    <row r="12" customFormat="false" ht="15" hidden="false" customHeight="true" outlineLevel="0" collapsed="false">
      <c r="A12" s="6" t="s">
        <v>25</v>
      </c>
      <c r="B12" s="6" t="n">
        <f aca="false">COUNTIF('Журнал простоев'!A$13:A$21,A12)</f>
        <v>2</v>
      </c>
      <c r="C12" s="8" t="n">
        <f aca="false">SUMIF('Журнал простоев'!A$13:A$21,A12,'Журнал простоев'!E$13:E$21)</f>
        <v>23</v>
      </c>
      <c r="D12" s="8" t="n">
        <f aca="false">IF(B12=0,0,C12/B12)</f>
        <v>11.5</v>
      </c>
      <c r="E12" s="8" t="n">
        <f aca="false">C12/384*100</f>
        <v>5.98958333333333</v>
      </c>
    </row>
    <row r="15" customFormat="false" ht="15" hidden="false" customHeight="true" outlineLevel="0" collapsed="false">
      <c r="A15" s="7" t="s">
        <v>34</v>
      </c>
    </row>
    <row r="16" customFormat="false" ht="15" hidden="false" customHeight="true" outlineLevel="0" collapsed="false">
      <c r="A16" s="4" t="s">
        <v>3</v>
      </c>
      <c r="B16" s="4" t="s">
        <v>35</v>
      </c>
      <c r="C16" s="4" t="s">
        <v>36</v>
      </c>
      <c r="D16" s="4" t="s">
        <v>37</v>
      </c>
    </row>
    <row r="17" customFormat="false" ht="15" hidden="false" customHeight="true" outlineLevel="0" collapsed="false">
      <c r="A17" s="6" t="s">
        <v>4</v>
      </c>
      <c r="B17" s="8" t="n">
        <f aca="false">SUMIF('Журнал простоев'!D$13:D$21,A17,'Журнал простоев'!E$13:E$21)</f>
        <v>2</v>
      </c>
      <c r="C17" s="8" t="n">
        <f aca="false">B17/SUM(B17:B21)*100</f>
        <v>3.44827586206897</v>
      </c>
      <c r="D17" s="8" t="n">
        <f aca="false">SUMPRODUCT(($B$17:$B$21&gt;=B17)*$B$17:$B$21)/SUM(B17:B21)*100</f>
        <v>100</v>
      </c>
    </row>
    <row r="18" customFormat="false" ht="15" hidden="false" customHeight="true" outlineLevel="0" collapsed="false">
      <c r="A18" s="6" t="s">
        <v>5</v>
      </c>
      <c r="B18" s="8" t="n">
        <f aca="false">SUMIF('Журнал простоев'!D$13:D$21,A18,'Журнал простоев'!E$13:E$21)</f>
        <v>11</v>
      </c>
      <c r="C18" s="8" t="n">
        <f aca="false">B18/SUM(B17:B21)*100</f>
        <v>18.9655172413793</v>
      </c>
      <c r="D18" s="8" t="n">
        <f aca="false">SUMPRODUCT(($B$17:$B$21&gt;=B18)*$B$17:$B$21)/SUM(B17:B21)*100</f>
        <v>84.4827586206897</v>
      </c>
    </row>
    <row r="19" customFormat="false" ht="15" hidden="false" customHeight="true" outlineLevel="0" collapsed="false">
      <c r="A19" s="6" t="s">
        <v>6</v>
      </c>
      <c r="B19" s="8" t="n">
        <f aca="false">SUMIF('Журнал простоев'!D$13:D$21,A19,'Журнал простоев'!E$13:E$21)</f>
        <v>7</v>
      </c>
      <c r="C19" s="8" t="n">
        <f aca="false">B19/SUM(B17:B21)*100</f>
        <v>12.0689655172414</v>
      </c>
      <c r="D19" s="8" t="n">
        <f aca="false">SUMPRODUCT(($B$17:$B$21&gt;=B19)*$B$17:$B$21)/SUM(B17:B21)*100</f>
        <v>96.551724137931</v>
      </c>
    </row>
    <row r="20" customFormat="false" ht="15" hidden="false" customHeight="true" outlineLevel="0" collapsed="false">
      <c r="A20" s="6" t="s">
        <v>7</v>
      </c>
      <c r="B20" s="8" t="n">
        <f aca="false">SUMIF('Журнал простоев'!D$13:D$21,A20,'Журнал простоев'!E$13:E$21)</f>
        <v>20</v>
      </c>
      <c r="C20" s="8" t="n">
        <f aca="false">B20/SUM(B17:B21)*100</f>
        <v>34.4827586206897</v>
      </c>
      <c r="D20" s="8" t="n">
        <f aca="false">SUMPRODUCT(($B$17:$B$21&gt;=B20)*$B$17:$B$21)/SUM(B17:B21)*100</f>
        <v>34.4827586206897</v>
      </c>
    </row>
    <row r="21" customFormat="false" ht="15" hidden="false" customHeight="true" outlineLevel="0" collapsed="false">
      <c r="A21" s="6" t="s">
        <v>8</v>
      </c>
      <c r="B21" s="8" t="n">
        <f aca="false">SUMIF('Журнал простоев'!D$13:D$21,A21,'Журнал простоев'!E$13:E$21)</f>
        <v>18</v>
      </c>
      <c r="C21" s="8" t="n">
        <f aca="false">B21/SUM(B17:B21)*100</f>
        <v>31.0344827586207</v>
      </c>
      <c r="D21" s="8" t="n">
        <f aca="false">SUMPRODUCT(($B$17:$B$21&gt;=B21)*$B$17:$B$21)/SUM(B17:B21)*100</f>
        <v>65.5172413793104</v>
      </c>
    </row>
  </sheetData>
  <conditionalFormatting sqref="E8:E12">
    <cfRule type="expression" priority="2" aboveAverage="0" equalAverage="0" bottom="0" percent="0" rank="0" text="" dxfId="0">
      <formula>E8&gt;5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7" min="5" style="1" width="22"/>
  </cols>
  <sheetData>
    <row r="1" customFormat="false" ht="15.75" hidden="false" customHeight="true" outlineLevel="0" collapsed="false">
      <c r="A1" s="2" t="s">
        <v>38</v>
      </c>
    </row>
    <row r="3" customFormat="false" ht="15" hidden="false" customHeight="true" outlineLevel="0" collapsed="false">
      <c r="A3" s="4" t="s">
        <v>9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</row>
    <row r="4" customFormat="false" ht="15" hidden="false" customHeight="true" outlineLevel="0" collapsed="false">
      <c r="A4" s="5" t="s">
        <v>14</v>
      </c>
      <c r="B4" s="5" t="s">
        <v>24</v>
      </c>
      <c r="C4" s="5" t="n">
        <v>13.8</v>
      </c>
      <c r="D4" s="5" t="n">
        <v>1.2</v>
      </c>
      <c r="E4" s="5" t="n">
        <v>20</v>
      </c>
      <c r="F4" s="9" t="n">
        <f aca="false">C4/E4</f>
        <v>0.69</v>
      </c>
      <c r="G4" s="6" t="str">
        <f aca="false">IF(D4&gt;=5,"Проверить двигатель","Норма")</f>
        <v>Норма</v>
      </c>
    </row>
    <row r="5" customFormat="false" ht="15" hidden="false" customHeight="true" outlineLevel="0" collapsed="false">
      <c r="A5" s="5" t="s">
        <v>14</v>
      </c>
      <c r="B5" s="5" t="s">
        <v>17</v>
      </c>
      <c r="C5" s="5" t="n">
        <v>13.7</v>
      </c>
      <c r="D5" s="5" t="n">
        <v>1.3</v>
      </c>
      <c r="E5" s="5" t="n">
        <v>19.8</v>
      </c>
      <c r="F5" s="9" t="n">
        <f aca="false">C5/E5</f>
        <v>0.691919191919192</v>
      </c>
      <c r="G5" s="6" t="str">
        <f aca="false">IF(D5&gt;=5,"Проверить двигатель","Норма")</f>
        <v>Норма</v>
      </c>
    </row>
    <row r="6" customFormat="false" ht="15" hidden="false" customHeight="true" outlineLevel="0" collapsed="false">
      <c r="A6" s="5" t="s">
        <v>14</v>
      </c>
      <c r="B6" s="5" t="s">
        <v>15</v>
      </c>
      <c r="C6" s="5" t="n">
        <v>13.9</v>
      </c>
      <c r="D6" s="5" t="n">
        <v>1.1</v>
      </c>
      <c r="E6" s="5" t="n">
        <v>20.1</v>
      </c>
      <c r="F6" s="9" t="n">
        <f aca="false">C6/E6</f>
        <v>0.691542288557214</v>
      </c>
      <c r="G6" s="6" t="str">
        <f aca="false">IF(D6&gt;=5,"Проверить двигатель","Норма")</f>
        <v>Норма</v>
      </c>
    </row>
    <row r="7" customFormat="false" ht="15" hidden="false" customHeight="true" outlineLevel="0" collapsed="false">
      <c r="A7" s="5" t="s">
        <v>14</v>
      </c>
      <c r="B7" s="5" t="s">
        <v>21</v>
      </c>
      <c r="C7" s="5" t="n">
        <v>13.6</v>
      </c>
      <c r="D7" s="5" t="n">
        <v>1.4</v>
      </c>
      <c r="E7" s="5" t="n">
        <v>19.5</v>
      </c>
      <c r="F7" s="9" t="n">
        <f aca="false">C7/E7</f>
        <v>0.697435897435897</v>
      </c>
      <c r="G7" s="6" t="str">
        <f aca="false">IF(D7&gt;=5,"Проверить двигатель","Норма")</f>
        <v>Норма</v>
      </c>
    </row>
    <row r="8" customFormat="false" ht="15" hidden="false" customHeight="true" outlineLevel="0" collapsed="false">
      <c r="A8" s="5" t="s">
        <v>14</v>
      </c>
      <c r="B8" s="5" t="s">
        <v>22</v>
      </c>
      <c r="C8" s="5" t="n">
        <v>13.7</v>
      </c>
      <c r="D8" s="5" t="n">
        <v>1.2</v>
      </c>
      <c r="E8" s="5" t="n">
        <v>19.7</v>
      </c>
      <c r="F8" s="9" t="n">
        <f aca="false">C8/E8</f>
        <v>0.695431472081218</v>
      </c>
      <c r="G8" s="6" t="str">
        <f aca="false">IF(D8&gt;=5,"Проверить двигатель","Норма")</f>
        <v>Норма</v>
      </c>
    </row>
    <row r="9" customFormat="false" ht="15" hidden="false" customHeight="true" outlineLevel="0" collapsed="false">
      <c r="A9" s="5" t="s">
        <v>14</v>
      </c>
      <c r="B9" s="5" t="s">
        <v>19</v>
      </c>
      <c r="C9" s="5" t="n">
        <v>13.6</v>
      </c>
      <c r="D9" s="5" t="n">
        <v>1.3</v>
      </c>
      <c r="E9" s="5" t="n">
        <v>19.6</v>
      </c>
      <c r="F9" s="9" t="n">
        <f aca="false">C9/E9</f>
        <v>0.693877551020408</v>
      </c>
      <c r="G9" s="6" t="str">
        <f aca="false">IF(D9&gt;=5,"Проверить двигатель","Норма")</f>
        <v>Норма</v>
      </c>
    </row>
    <row r="10" customFormat="false" ht="15" hidden="false" customHeight="true" outlineLevel="0" collapsed="false">
      <c r="A10" s="5" t="s">
        <v>16</v>
      </c>
      <c r="B10" s="5" t="s">
        <v>24</v>
      </c>
      <c r="C10" s="5" t="n">
        <v>11</v>
      </c>
      <c r="D10" s="5" t="n">
        <v>1.5</v>
      </c>
      <c r="E10" s="5" t="n">
        <v>18</v>
      </c>
      <c r="F10" s="9" t="n">
        <f aca="false">C10/E10</f>
        <v>0.611111111111111</v>
      </c>
      <c r="G10" s="6" t="str">
        <f aca="false">IF(D10&gt;=5,"Проверить двигатель","Норма")</f>
        <v>Норма</v>
      </c>
    </row>
    <row r="11" customFormat="false" ht="15" hidden="false" customHeight="true" outlineLevel="0" collapsed="false">
      <c r="A11" s="5" t="s">
        <v>16</v>
      </c>
      <c r="B11" s="5" t="s">
        <v>17</v>
      </c>
      <c r="C11" s="5" t="n">
        <v>10.5</v>
      </c>
      <c r="D11" s="5" t="n">
        <v>2</v>
      </c>
      <c r="E11" s="5" t="n">
        <v>16</v>
      </c>
      <c r="F11" s="9" t="n">
        <f aca="false">C11/E11</f>
        <v>0.65625</v>
      </c>
      <c r="G11" s="6" t="str">
        <f aca="false">IF(D11&gt;=5,"Проверить двигатель","Норма")</f>
        <v>Норма</v>
      </c>
    </row>
    <row r="12" customFormat="false" ht="15" hidden="false" customHeight="true" outlineLevel="0" collapsed="false">
      <c r="A12" s="5" t="s">
        <v>16</v>
      </c>
      <c r="B12" s="5" t="s">
        <v>15</v>
      </c>
      <c r="C12" s="5" t="n">
        <v>10</v>
      </c>
      <c r="D12" s="5" t="n">
        <v>3</v>
      </c>
      <c r="E12" s="5" t="n">
        <v>14</v>
      </c>
      <c r="F12" s="9" t="n">
        <f aca="false">C12/E12</f>
        <v>0.714285714285714</v>
      </c>
      <c r="G12" s="6" t="str">
        <f aca="false">IF(D12&gt;=5,"Проверить двигатель","Норма")</f>
        <v>Норма</v>
      </c>
    </row>
    <row r="13" customFormat="false" ht="15" hidden="false" customHeight="true" outlineLevel="0" collapsed="false">
      <c r="A13" s="5" t="s">
        <v>16</v>
      </c>
      <c r="B13" s="5" t="s">
        <v>21</v>
      </c>
      <c r="C13" s="5" t="n">
        <v>9.5</v>
      </c>
      <c r="D13" s="5" t="n">
        <v>4.5</v>
      </c>
      <c r="E13" s="5" t="n">
        <v>12</v>
      </c>
      <c r="F13" s="9" t="n">
        <f aca="false">C13/E13</f>
        <v>0.791666666666667</v>
      </c>
      <c r="G13" s="6" t="str">
        <f aca="false">IF(D13&gt;=5,"Проверить двигатель","Норма")</f>
        <v>Норма</v>
      </c>
    </row>
    <row r="14" customFormat="false" ht="15" hidden="false" customHeight="true" outlineLevel="0" collapsed="false">
      <c r="A14" s="5" t="s">
        <v>16</v>
      </c>
      <c r="B14" s="5" t="s">
        <v>22</v>
      </c>
      <c r="C14" s="5" t="n">
        <v>9.2</v>
      </c>
      <c r="D14" s="5" t="n">
        <v>6</v>
      </c>
      <c r="E14" s="5" t="n">
        <v>11</v>
      </c>
      <c r="F14" s="9" t="n">
        <f aca="false">C14/E14</f>
        <v>0.836363636363636</v>
      </c>
      <c r="G14" s="6" t="str">
        <f aca="false">IF(D14&gt;=5,"Проверить двигатель","Норма")</f>
        <v>Проверить двигатель</v>
      </c>
    </row>
    <row r="15" customFormat="false" ht="15" hidden="false" customHeight="true" outlineLevel="0" collapsed="false">
      <c r="A15" s="5" t="s">
        <v>16</v>
      </c>
      <c r="B15" s="5" t="s">
        <v>19</v>
      </c>
      <c r="C15" s="5" t="n">
        <v>8.8</v>
      </c>
      <c r="D15" s="5" t="n">
        <v>7.5</v>
      </c>
      <c r="E15" s="5" t="n">
        <v>9</v>
      </c>
      <c r="F15" s="9" t="n">
        <f aca="false">C15/E15</f>
        <v>0.977777777777778</v>
      </c>
      <c r="G15" s="6" t="str">
        <f aca="false">IF(D15&gt;=5,"Проверить двигатель","Норма")</f>
        <v>Проверить двигатель</v>
      </c>
    </row>
    <row r="16" customFormat="false" ht="15" hidden="false" customHeight="true" outlineLevel="0" collapsed="false">
      <c r="A16" s="5" t="s">
        <v>20</v>
      </c>
      <c r="B16" s="5" t="s">
        <v>24</v>
      </c>
      <c r="C16" s="5" t="n">
        <v>15</v>
      </c>
      <c r="D16" s="5" t="n">
        <v>1</v>
      </c>
      <c r="E16" s="5" t="n">
        <v>25</v>
      </c>
      <c r="F16" s="9" t="n">
        <f aca="false">C16/E16</f>
        <v>0.6</v>
      </c>
      <c r="G16" s="6" t="str">
        <f aca="false">IF(D16&gt;=5,"Проверить двигатель","Норма")</f>
        <v>Норма</v>
      </c>
    </row>
    <row r="17" customFormat="false" ht="15" hidden="false" customHeight="true" outlineLevel="0" collapsed="false">
      <c r="A17" s="5" t="s">
        <v>20</v>
      </c>
      <c r="B17" s="5" t="s">
        <v>17</v>
      </c>
      <c r="C17" s="5" t="n">
        <v>16.5</v>
      </c>
      <c r="D17" s="5" t="n">
        <v>1.1</v>
      </c>
      <c r="E17" s="5" t="n">
        <v>24</v>
      </c>
      <c r="F17" s="9" t="n">
        <f aca="false">C17/E17</f>
        <v>0.6875</v>
      </c>
      <c r="G17" s="6" t="str">
        <f aca="false">IF(D17&gt;=5,"Проверить двигатель","Норма")</f>
        <v>Норма</v>
      </c>
    </row>
    <row r="18" customFormat="false" ht="15" hidden="false" customHeight="true" outlineLevel="0" collapsed="false">
      <c r="A18" s="5" t="s">
        <v>20</v>
      </c>
      <c r="B18" s="5" t="s">
        <v>15</v>
      </c>
      <c r="C18" s="5" t="n">
        <v>18</v>
      </c>
      <c r="D18" s="5" t="n">
        <v>1</v>
      </c>
      <c r="E18" s="5" t="n">
        <v>22</v>
      </c>
      <c r="F18" s="9" t="n">
        <f aca="false">C18/E18</f>
        <v>0.818181818181818</v>
      </c>
      <c r="G18" s="6" t="str">
        <f aca="false">IF(D18&gt;=5,"Проверить двигатель","Норма")</f>
        <v>Норма</v>
      </c>
    </row>
    <row r="19" customFormat="false" ht="15" hidden="false" customHeight="true" outlineLevel="0" collapsed="false">
      <c r="A19" s="5" t="s">
        <v>20</v>
      </c>
      <c r="B19" s="5" t="s">
        <v>21</v>
      </c>
      <c r="C19" s="5" t="n">
        <v>19.5</v>
      </c>
      <c r="D19" s="5" t="n">
        <v>1.2</v>
      </c>
      <c r="E19" s="5" t="n">
        <v>18</v>
      </c>
      <c r="F19" s="9" t="n">
        <f aca="false">C19/E19</f>
        <v>1.08333333333333</v>
      </c>
      <c r="G19" s="6" t="str">
        <f aca="false">IF(D19&gt;=5,"Проверить двигатель","Норма")</f>
        <v>Норма</v>
      </c>
    </row>
    <row r="20" customFormat="false" ht="15" hidden="false" customHeight="true" outlineLevel="0" collapsed="false">
      <c r="A20" s="5" t="s">
        <v>20</v>
      </c>
      <c r="B20" s="5" t="s">
        <v>22</v>
      </c>
      <c r="C20" s="5" t="n">
        <v>19.8</v>
      </c>
      <c r="D20" s="5" t="n">
        <v>1.1</v>
      </c>
      <c r="E20" s="5" t="n">
        <v>15</v>
      </c>
      <c r="F20" s="9" t="n">
        <f aca="false">C20/E20</f>
        <v>1.32</v>
      </c>
      <c r="G20" s="6" t="str">
        <f aca="false">IF(D20&gt;=5,"Проверить двигатель","Норма")</f>
        <v>Норма</v>
      </c>
    </row>
    <row r="21" customFormat="false" ht="15" hidden="false" customHeight="true" outlineLevel="0" collapsed="false">
      <c r="A21" s="5" t="s">
        <v>20</v>
      </c>
      <c r="B21" s="5" t="s">
        <v>19</v>
      </c>
      <c r="C21" s="5" t="n">
        <v>19.3</v>
      </c>
      <c r="D21" s="5" t="n">
        <v>1</v>
      </c>
      <c r="E21" s="5" t="n">
        <v>12</v>
      </c>
      <c r="F21" s="9" t="n">
        <f aca="false">C21/E21</f>
        <v>1.60833333333333</v>
      </c>
      <c r="G21" s="6" t="str">
        <f aca="false">IF(D21&gt;=5,"Проверить двигатель","Норма")</f>
        <v>Норма</v>
      </c>
    </row>
    <row r="22" customFormat="false" ht="15" hidden="false" customHeight="true" outlineLevel="0" collapsed="false">
      <c r="A22" s="5" t="s">
        <v>23</v>
      </c>
      <c r="B22" s="5" t="s">
        <v>24</v>
      </c>
      <c r="C22" s="5" t="n">
        <v>12.5</v>
      </c>
      <c r="D22" s="5" t="n">
        <v>1.8</v>
      </c>
      <c r="E22" s="5" t="n">
        <v>15</v>
      </c>
      <c r="F22" s="9" t="n">
        <f aca="false">C22/E22</f>
        <v>0.833333333333333</v>
      </c>
      <c r="G22" s="6" t="str">
        <f aca="false">IF(D22&gt;=5,"Проверить двигатель","Норма")</f>
        <v>Норма</v>
      </c>
    </row>
    <row r="23" customFormat="false" ht="15" hidden="false" customHeight="true" outlineLevel="0" collapsed="false">
      <c r="A23" s="5" t="s">
        <v>23</v>
      </c>
      <c r="B23" s="5" t="s">
        <v>17</v>
      </c>
      <c r="C23" s="5" t="n">
        <v>12.6</v>
      </c>
      <c r="D23" s="5" t="n">
        <v>1.7</v>
      </c>
      <c r="E23" s="5" t="n">
        <v>15.2</v>
      </c>
      <c r="F23" s="9" t="n">
        <f aca="false">C23/E23</f>
        <v>0.828947368421053</v>
      </c>
      <c r="G23" s="6" t="str">
        <f aca="false">IF(D23&gt;=5,"Проверить двигатель","Норма")</f>
        <v>Норма</v>
      </c>
    </row>
    <row r="24" customFormat="false" ht="15" hidden="false" customHeight="true" outlineLevel="0" collapsed="false">
      <c r="A24" s="5" t="s">
        <v>23</v>
      </c>
      <c r="B24" s="5" t="s">
        <v>15</v>
      </c>
      <c r="C24" s="5" t="n">
        <v>12.4</v>
      </c>
      <c r="D24" s="5" t="n">
        <v>1.9</v>
      </c>
      <c r="E24" s="5" t="n">
        <v>14.9</v>
      </c>
      <c r="F24" s="9" t="n">
        <f aca="false">C24/E24</f>
        <v>0.832214765100671</v>
      </c>
      <c r="G24" s="6" t="str">
        <f aca="false">IF(D24&gt;=5,"Проверить двигатель","Норма")</f>
        <v>Норма</v>
      </c>
    </row>
    <row r="25" customFormat="false" ht="15" hidden="false" customHeight="true" outlineLevel="0" collapsed="false">
      <c r="A25" s="5" t="s">
        <v>23</v>
      </c>
      <c r="B25" s="5" t="s">
        <v>21</v>
      </c>
      <c r="C25" s="5" t="n">
        <v>12.5</v>
      </c>
      <c r="D25" s="5" t="n">
        <v>1.8</v>
      </c>
      <c r="E25" s="5" t="n">
        <v>15.1</v>
      </c>
      <c r="F25" s="9" t="n">
        <f aca="false">C25/E25</f>
        <v>0.827814569536424</v>
      </c>
      <c r="G25" s="6" t="str">
        <f aca="false">IF(D25&gt;=5,"Проверить двигатель","Норма")</f>
        <v>Норма</v>
      </c>
    </row>
    <row r="26" customFormat="false" ht="15" hidden="false" customHeight="true" outlineLevel="0" collapsed="false">
      <c r="A26" s="5" t="s">
        <v>23</v>
      </c>
      <c r="B26" s="5" t="s">
        <v>22</v>
      </c>
      <c r="C26" s="5" t="n">
        <v>12.6</v>
      </c>
      <c r="D26" s="5" t="n">
        <v>1.7</v>
      </c>
      <c r="E26" s="5" t="n">
        <v>15</v>
      </c>
      <c r="F26" s="9" t="n">
        <f aca="false">C26/E26</f>
        <v>0.84</v>
      </c>
      <c r="G26" s="6" t="str">
        <f aca="false">IF(D26&gt;=5,"Проверить двигатель","Норма")</f>
        <v>Норма</v>
      </c>
    </row>
    <row r="27" customFormat="false" ht="15" hidden="false" customHeight="true" outlineLevel="0" collapsed="false">
      <c r="A27" s="5" t="s">
        <v>23</v>
      </c>
      <c r="B27" s="5" t="s">
        <v>19</v>
      </c>
      <c r="C27" s="5" t="n">
        <v>12.5</v>
      </c>
      <c r="D27" s="5" t="n">
        <v>1.8</v>
      </c>
      <c r="E27" s="5" t="n">
        <v>14.8</v>
      </c>
      <c r="F27" s="9" t="n">
        <f aca="false">C27/E27</f>
        <v>0.844594594594595</v>
      </c>
      <c r="G27" s="6" t="str">
        <f aca="false">IF(D27&gt;=5,"Проверить двигатель","Норма")</f>
        <v>Норма</v>
      </c>
    </row>
    <row r="28" customFormat="false" ht="15" hidden="false" customHeight="true" outlineLevel="0" collapsed="false">
      <c r="A28" s="5" t="s">
        <v>25</v>
      </c>
      <c r="B28" s="5" t="s">
        <v>24</v>
      </c>
      <c r="C28" s="5" t="n">
        <v>12</v>
      </c>
      <c r="D28" s="5" t="n">
        <v>2</v>
      </c>
      <c r="E28" s="5" t="n">
        <v>10</v>
      </c>
      <c r="F28" s="9" t="n">
        <f aca="false">C28/E28</f>
        <v>1.2</v>
      </c>
      <c r="G28" s="6" t="str">
        <f aca="false">IF(D28&gt;=5,"Проверить двигатель","Норма")</f>
        <v>Норма</v>
      </c>
    </row>
    <row r="29" customFormat="false" ht="15" hidden="false" customHeight="true" outlineLevel="0" collapsed="false">
      <c r="A29" s="5" t="s">
        <v>25</v>
      </c>
      <c r="B29" s="5" t="s">
        <v>17</v>
      </c>
      <c r="C29" s="5" t="n">
        <v>12.2</v>
      </c>
      <c r="D29" s="5" t="n">
        <v>1.9</v>
      </c>
      <c r="E29" s="5" t="n">
        <v>11</v>
      </c>
      <c r="F29" s="9" t="n">
        <f aca="false">C29/E29</f>
        <v>1.10909090909091</v>
      </c>
      <c r="G29" s="6" t="str">
        <f aca="false">IF(D29&gt;=5,"Проверить двигатель","Норма")</f>
        <v>Норма</v>
      </c>
    </row>
    <row r="30" customFormat="false" ht="15" hidden="false" customHeight="true" outlineLevel="0" collapsed="false">
      <c r="A30" s="5" t="s">
        <v>25</v>
      </c>
      <c r="B30" s="5" t="s">
        <v>15</v>
      </c>
      <c r="C30" s="5" t="n">
        <v>12.5</v>
      </c>
      <c r="D30" s="5" t="n">
        <v>1.8</v>
      </c>
      <c r="E30" s="5" t="n">
        <v>13</v>
      </c>
      <c r="F30" s="9" t="n">
        <f aca="false">C30/E30</f>
        <v>0.961538461538462</v>
      </c>
      <c r="G30" s="6" t="str">
        <f aca="false">IF(D30&gt;=5,"Проверить двигатель","Норма")</f>
        <v>Норма</v>
      </c>
    </row>
    <row r="31" customFormat="false" ht="15" hidden="false" customHeight="true" outlineLevel="0" collapsed="false">
      <c r="A31" s="5" t="s">
        <v>25</v>
      </c>
      <c r="B31" s="5" t="s">
        <v>21</v>
      </c>
      <c r="C31" s="5" t="n">
        <v>12.6</v>
      </c>
      <c r="D31" s="5" t="n">
        <v>1.6</v>
      </c>
      <c r="E31" s="5" t="n">
        <v>14</v>
      </c>
      <c r="F31" s="9" t="n">
        <f aca="false">C31/E31</f>
        <v>0.9</v>
      </c>
      <c r="G31" s="6" t="str">
        <f aca="false">IF(D31&gt;=5,"Проверить двигатель","Норма")</f>
        <v>Норма</v>
      </c>
    </row>
    <row r="32" customFormat="false" ht="15" hidden="false" customHeight="true" outlineLevel="0" collapsed="false">
      <c r="A32" s="5" t="s">
        <v>25</v>
      </c>
      <c r="B32" s="5" t="s">
        <v>22</v>
      </c>
      <c r="C32" s="5" t="n">
        <v>12.7</v>
      </c>
      <c r="D32" s="5" t="n">
        <v>1.5</v>
      </c>
      <c r="E32" s="5" t="n">
        <v>16</v>
      </c>
      <c r="F32" s="9" t="n">
        <f aca="false">C32/E32</f>
        <v>0.79375</v>
      </c>
      <c r="G32" s="6" t="str">
        <f aca="false">IF(D32&gt;=5,"Проверить двигатель","Норма")</f>
        <v>Норма</v>
      </c>
    </row>
    <row r="33" customFormat="false" ht="15" hidden="false" customHeight="true" outlineLevel="0" collapsed="false">
      <c r="A33" s="5" t="s">
        <v>25</v>
      </c>
      <c r="B33" s="5" t="s">
        <v>19</v>
      </c>
      <c r="C33" s="5" t="n">
        <v>12.6</v>
      </c>
      <c r="D33" s="5" t="n">
        <v>1.4</v>
      </c>
      <c r="E33" s="5" t="n">
        <v>17</v>
      </c>
      <c r="F33" s="9" t="n">
        <f aca="false">C33/E33</f>
        <v>0.741176470588235</v>
      </c>
      <c r="G33" s="6" t="str">
        <f aca="false">IF(D33&gt;=5,"Проверить двигатель","Норма")</f>
        <v>Норма</v>
      </c>
    </row>
  </sheetData>
  <conditionalFormatting sqref="D4:D33">
    <cfRule type="expression" priority="2" aboveAverage="0" equalAverage="0" bottom="0" percent="0" rank="0" text="" dxfId="0">
      <formula>D4&gt;=5</formula>
    </cfRule>
  </conditionalFormatting>
  <conditionalFormatting sqref="G4:G33">
    <cfRule type="expression" priority="3" aboveAverage="0" equalAverage="0" bottom="0" percent="0" rank="0" text="" dxfId="0">
      <formula>G4="Проверить двигатель"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15.75" hidden="false" customHeight="true" outlineLevel="0" collapsed="false">
      <c r="A1" s="2" t="s">
        <v>45</v>
      </c>
    </row>
    <row r="3" customFormat="false" ht="15" hidden="false" customHeight="true" outlineLevel="0" collapsed="false">
      <c r="A3" s="7" t="s">
        <v>46</v>
      </c>
    </row>
    <row r="4" customFormat="false" ht="15" hidden="false" customHeight="true" outlineLevel="0" collapsed="false">
      <c r="A4" s="4" t="s">
        <v>9</v>
      </c>
      <c r="B4" s="4" t="s">
        <v>47</v>
      </c>
      <c r="C4" s="4" t="s">
        <v>48</v>
      </c>
      <c r="D4" s="4" t="s">
        <v>43</v>
      </c>
      <c r="E4" s="4" t="s">
        <v>49</v>
      </c>
      <c r="F4" s="4" t="s">
        <v>44</v>
      </c>
    </row>
    <row r="5" customFormat="false" ht="15" hidden="false" customHeight="true" outlineLevel="0" collapsed="false">
      <c r="A5" s="6" t="s">
        <v>14</v>
      </c>
      <c r="B5" s="8" t="n">
        <f aca="false">AVERAGEIF('Журнал электро'!A$4:A$33,A5,'Журнал электро'!C$4:C$33)</f>
        <v>13.7166666666667</v>
      </c>
      <c r="C5" s="8" t="n">
        <f aca="false">AVERAGEIF('Журнал электро'!A$4:A$33,A5,'Журнал электро'!E$4:E$33)</f>
        <v>19.7833333333333</v>
      </c>
      <c r="D5" s="9" t="n">
        <f aca="false">B5/C5</f>
        <v>0.693344566133109</v>
      </c>
      <c r="E5" s="8" t="n">
        <f aca="false">SUMPRODUCT(MAX(('Журнал электро'!$A$4:$A$33=A5)*'Журнал электро'!$D$4:$D$33))</f>
        <v>1.4</v>
      </c>
      <c r="F5" s="6" t="str">
        <f aca="false">IF(E5&gt;=5,"Проверить двигатель","Норма")</f>
        <v>Норма</v>
      </c>
    </row>
    <row r="6" customFormat="false" ht="15" hidden="false" customHeight="true" outlineLevel="0" collapsed="false">
      <c r="A6" s="6" t="s">
        <v>16</v>
      </c>
      <c r="B6" s="8" t="n">
        <f aca="false">AVERAGEIF('Журнал электро'!A$4:A$33,A6,'Журнал электро'!C$4:C$33)</f>
        <v>9.83333333333333</v>
      </c>
      <c r="C6" s="8" t="n">
        <f aca="false">AVERAGEIF('Журнал электро'!A$4:A$33,A6,'Журнал электро'!E$4:E$33)</f>
        <v>13.3333333333333</v>
      </c>
      <c r="D6" s="9" t="n">
        <f aca="false">B6/C6</f>
        <v>0.7375</v>
      </c>
      <c r="E6" s="8" t="n">
        <f aca="false">SUMPRODUCT(MAX(('Журнал электро'!$A$4:$A$33=A6)*'Журнал электро'!$D$4:$D$33))</f>
        <v>7.5</v>
      </c>
      <c r="F6" s="6" t="str">
        <f aca="false">IF(E6&gt;=5,"Проверить двигатель","Норма")</f>
        <v>Проверить двигатель</v>
      </c>
    </row>
    <row r="7" customFormat="false" ht="15" hidden="false" customHeight="true" outlineLevel="0" collapsed="false">
      <c r="A7" s="6" t="s">
        <v>20</v>
      </c>
      <c r="B7" s="8" t="n">
        <f aca="false">AVERAGEIF('Журнал электро'!A$4:A$33,A7,'Журнал электро'!C$4:C$33)</f>
        <v>18.0166666666667</v>
      </c>
      <c r="C7" s="8" t="n">
        <f aca="false">AVERAGEIF('Журнал электро'!A$4:A$33,A7,'Журнал электро'!E$4:E$33)</f>
        <v>19.3333333333333</v>
      </c>
      <c r="D7" s="9" t="n">
        <f aca="false">B7/C7</f>
        <v>0.931896551724138</v>
      </c>
      <c r="E7" s="8" t="n">
        <f aca="false">SUMPRODUCT(MAX(('Журнал электро'!$A$4:$A$33=A7)*'Журнал электро'!$D$4:$D$33))</f>
        <v>1.2</v>
      </c>
      <c r="F7" s="6" t="str">
        <f aca="false">IF(E7&gt;=5,"Проверить двигатель","Норма")</f>
        <v>Норма</v>
      </c>
    </row>
    <row r="8" customFormat="false" ht="15" hidden="false" customHeight="true" outlineLevel="0" collapsed="false">
      <c r="A8" s="6" t="s">
        <v>23</v>
      </c>
      <c r="B8" s="8" t="n">
        <f aca="false">AVERAGEIF('Журнал электро'!A$4:A$33,A8,'Журнал электро'!C$4:C$33)</f>
        <v>12.5166666666667</v>
      </c>
      <c r="C8" s="8" t="n">
        <f aca="false">AVERAGEIF('Журнал электро'!A$4:A$33,A8,'Журнал электро'!E$4:E$33)</f>
        <v>15</v>
      </c>
      <c r="D8" s="9" t="n">
        <f aca="false">B8/C8</f>
        <v>0.834444444444444</v>
      </c>
      <c r="E8" s="8" t="n">
        <f aca="false">SUMPRODUCT(MAX(('Журнал электро'!$A$4:$A$33=A8)*'Журнал электро'!$D$4:$D$33))</f>
        <v>1.9</v>
      </c>
      <c r="F8" s="6" t="str">
        <f aca="false">IF(E8&gt;=5,"Проверить двигатель","Норма")</f>
        <v>Норма</v>
      </c>
    </row>
    <row r="9" customFormat="false" ht="15" hidden="false" customHeight="true" outlineLevel="0" collapsed="false">
      <c r="A9" s="6" t="s">
        <v>25</v>
      </c>
      <c r="B9" s="8" t="n">
        <f aca="false">AVERAGEIF('Журнал электро'!A$4:A$33,A9,'Журнал электро'!C$4:C$33)</f>
        <v>12.4333333333333</v>
      </c>
      <c r="C9" s="8" t="n">
        <f aca="false">AVERAGEIF('Журнал электро'!A$4:A$33,A9,'Журнал электро'!E$4:E$33)</f>
        <v>13.5</v>
      </c>
      <c r="D9" s="9" t="n">
        <f aca="false">B9/C9</f>
        <v>0.920987654320988</v>
      </c>
      <c r="E9" s="8" t="n">
        <f aca="false">SUMPRODUCT(MAX(('Журнал электро'!$A$4:$A$33=A9)*'Журнал электро'!$D$4:$D$33))</f>
        <v>2</v>
      </c>
      <c r="F9" s="6" t="str">
        <f aca="false">IF(E9&gt;=5,"Проверить двигатель","Норма")</f>
        <v>Норма</v>
      </c>
    </row>
    <row r="12" customFormat="false" ht="15" hidden="false" customHeight="true" outlineLevel="0" collapsed="false">
      <c r="A12" s="7" t="s">
        <v>50</v>
      </c>
    </row>
    <row r="13" customFormat="false" ht="15" hidden="false" customHeight="true" outlineLevel="0" collapsed="false">
      <c r="A13" s="4" t="s">
        <v>39</v>
      </c>
      <c r="B13" s="4" t="s">
        <v>14</v>
      </c>
      <c r="C13" s="4" t="s">
        <v>16</v>
      </c>
      <c r="D13" s="4" t="s">
        <v>20</v>
      </c>
      <c r="E13" s="4" t="s">
        <v>23</v>
      </c>
      <c r="F13" s="4" t="s">
        <v>25</v>
      </c>
    </row>
    <row r="14" customFormat="false" ht="15" hidden="false" customHeight="true" outlineLevel="0" collapsed="false">
      <c r="A14" s="6" t="s">
        <v>24</v>
      </c>
      <c r="B14" s="8" t="n">
        <f aca="false">SUMPRODUCT(('Журнал электро'!$A$4:$A$33=B$13)*('Журнал электро'!$B$4:$B$33=$A14)*'Журнал электро'!$D$4:$D$33)</f>
        <v>1.2</v>
      </c>
      <c r="C14" s="8" t="n">
        <f aca="false">SUMPRODUCT(('Журнал электро'!$A$4:$A$33=C$13)*('Журнал электро'!$B$4:$B$33=$A14)*'Журнал электро'!$D$4:$D$33)</f>
        <v>1.5</v>
      </c>
      <c r="D14" s="8" t="n">
        <f aca="false">SUMPRODUCT(('Журнал электро'!$A$4:$A$33=D$13)*('Журнал электро'!$B$4:$B$33=$A14)*'Журнал электро'!$D$4:$D$33)</f>
        <v>1</v>
      </c>
      <c r="E14" s="8" t="n">
        <f aca="false">SUMPRODUCT(('Журнал электро'!$A$4:$A$33=E$13)*('Журнал электро'!$B$4:$B$33=$A14)*'Журнал электро'!$D$4:$D$33)</f>
        <v>1.8</v>
      </c>
      <c r="F14" s="8" t="n">
        <f aca="false">SUMPRODUCT(('Журнал электро'!$A$4:$A$33=F$13)*('Журнал электро'!$B$4:$B$33=$A14)*'Журнал электро'!$D$4:$D$33)</f>
        <v>2</v>
      </c>
    </row>
    <row r="15" customFormat="false" ht="15" hidden="false" customHeight="true" outlineLevel="0" collapsed="false">
      <c r="A15" s="6" t="s">
        <v>17</v>
      </c>
      <c r="B15" s="8" t="n">
        <f aca="false">SUMPRODUCT(('Журнал электро'!$A$4:$A$33=B$13)*('Журнал электро'!$B$4:$B$33=$A15)*'Журнал электро'!$D$4:$D$33)</f>
        <v>1.3</v>
      </c>
      <c r="C15" s="8" t="n">
        <f aca="false">SUMPRODUCT(('Журнал электро'!$A$4:$A$33=C$13)*('Журнал электро'!$B$4:$B$33=$A15)*'Журнал электро'!$D$4:$D$33)</f>
        <v>2</v>
      </c>
      <c r="D15" s="8" t="n">
        <f aca="false">SUMPRODUCT(('Журнал электро'!$A$4:$A$33=D$13)*('Журнал электро'!$B$4:$B$33=$A15)*'Журнал электро'!$D$4:$D$33)</f>
        <v>1.1</v>
      </c>
      <c r="E15" s="8" t="n">
        <f aca="false">SUMPRODUCT(('Журнал электро'!$A$4:$A$33=E$13)*('Журнал электро'!$B$4:$B$33=$A15)*'Журнал электро'!$D$4:$D$33)</f>
        <v>1.7</v>
      </c>
      <c r="F15" s="8" t="n">
        <f aca="false">SUMPRODUCT(('Журнал электро'!$A$4:$A$33=F$13)*('Журнал электро'!$B$4:$B$33=$A15)*'Журнал электро'!$D$4:$D$33)</f>
        <v>1.9</v>
      </c>
    </row>
    <row r="16" customFormat="false" ht="15" hidden="false" customHeight="true" outlineLevel="0" collapsed="false">
      <c r="A16" s="6" t="s">
        <v>15</v>
      </c>
      <c r="B16" s="8" t="n">
        <f aca="false">SUMPRODUCT(('Журнал электро'!$A$4:$A$33=B$13)*('Журнал электро'!$B$4:$B$33=$A16)*'Журнал электро'!$D$4:$D$33)</f>
        <v>1.1</v>
      </c>
      <c r="C16" s="8" t="n">
        <f aca="false">SUMPRODUCT(('Журнал электро'!$A$4:$A$33=C$13)*('Журнал электро'!$B$4:$B$33=$A16)*'Журнал электро'!$D$4:$D$33)</f>
        <v>3</v>
      </c>
      <c r="D16" s="8" t="n">
        <f aca="false">SUMPRODUCT(('Журнал электро'!$A$4:$A$33=D$13)*('Журнал электро'!$B$4:$B$33=$A16)*'Журнал электро'!$D$4:$D$33)</f>
        <v>1</v>
      </c>
      <c r="E16" s="8" t="n">
        <f aca="false">SUMPRODUCT(('Журнал электро'!$A$4:$A$33=E$13)*('Журнал электро'!$B$4:$B$33=$A16)*'Журнал электро'!$D$4:$D$33)</f>
        <v>1.9</v>
      </c>
      <c r="F16" s="8" t="n">
        <f aca="false">SUMPRODUCT(('Журнал электро'!$A$4:$A$33=F$13)*('Журнал электро'!$B$4:$B$33=$A16)*'Журнал электро'!$D$4:$D$33)</f>
        <v>1.8</v>
      </c>
    </row>
    <row r="17" customFormat="false" ht="15" hidden="false" customHeight="true" outlineLevel="0" collapsed="false">
      <c r="A17" s="6" t="s">
        <v>21</v>
      </c>
      <c r="B17" s="8" t="n">
        <f aca="false">SUMPRODUCT(('Журнал электро'!$A$4:$A$33=B$13)*('Журнал электро'!$B$4:$B$33=$A17)*'Журнал электро'!$D$4:$D$33)</f>
        <v>1.4</v>
      </c>
      <c r="C17" s="8" t="n">
        <f aca="false">SUMPRODUCT(('Журнал электро'!$A$4:$A$33=C$13)*('Журнал электро'!$B$4:$B$33=$A17)*'Журнал электро'!$D$4:$D$33)</f>
        <v>4.5</v>
      </c>
      <c r="D17" s="8" t="n">
        <f aca="false">SUMPRODUCT(('Журнал электро'!$A$4:$A$33=D$13)*('Журнал электро'!$B$4:$B$33=$A17)*'Журнал электро'!$D$4:$D$33)</f>
        <v>1.2</v>
      </c>
      <c r="E17" s="8" t="n">
        <f aca="false">SUMPRODUCT(('Журнал электро'!$A$4:$A$33=E$13)*('Журнал электро'!$B$4:$B$33=$A17)*'Журнал электро'!$D$4:$D$33)</f>
        <v>1.8</v>
      </c>
      <c r="F17" s="8" t="n">
        <f aca="false">SUMPRODUCT(('Журнал электро'!$A$4:$A$33=F$13)*('Журнал электро'!$B$4:$B$33=$A17)*'Журнал электро'!$D$4:$D$33)</f>
        <v>1.6</v>
      </c>
    </row>
    <row r="18" customFormat="false" ht="15" hidden="false" customHeight="true" outlineLevel="0" collapsed="false">
      <c r="A18" s="6" t="s">
        <v>22</v>
      </c>
      <c r="B18" s="8" t="n">
        <f aca="false">SUMPRODUCT(('Журнал электро'!$A$4:$A$33=B$13)*('Журнал электро'!$B$4:$B$33=$A18)*'Журнал электро'!$D$4:$D$33)</f>
        <v>1.2</v>
      </c>
      <c r="C18" s="8" t="n">
        <f aca="false">SUMPRODUCT(('Журнал электро'!$A$4:$A$33=C$13)*('Журнал электро'!$B$4:$B$33=$A18)*'Журнал электро'!$D$4:$D$33)</f>
        <v>6</v>
      </c>
      <c r="D18" s="8" t="n">
        <f aca="false">SUMPRODUCT(('Журнал электро'!$A$4:$A$33=D$13)*('Журнал электро'!$B$4:$B$33=$A18)*'Журнал электро'!$D$4:$D$33)</f>
        <v>1.1</v>
      </c>
      <c r="E18" s="8" t="n">
        <f aca="false">SUMPRODUCT(('Журнал электро'!$A$4:$A$33=E$13)*('Журнал электро'!$B$4:$B$33=$A18)*'Журнал электро'!$D$4:$D$33)</f>
        <v>1.7</v>
      </c>
      <c r="F18" s="8" t="n">
        <f aca="false">SUMPRODUCT(('Журнал электро'!$A$4:$A$33=F$13)*('Журнал электро'!$B$4:$B$33=$A18)*'Журнал электро'!$D$4:$D$33)</f>
        <v>1.5</v>
      </c>
    </row>
    <row r="19" customFormat="false" ht="15" hidden="false" customHeight="true" outlineLevel="0" collapsed="false">
      <c r="A19" s="6" t="s">
        <v>19</v>
      </c>
      <c r="B19" s="8" t="n">
        <f aca="false">SUMPRODUCT(('Журнал электро'!$A$4:$A$33=B$13)*('Журнал электро'!$B$4:$B$33=$A19)*'Журнал электро'!$D$4:$D$33)</f>
        <v>1.3</v>
      </c>
      <c r="C19" s="8" t="n">
        <f aca="false">SUMPRODUCT(('Журнал электро'!$A$4:$A$33=C$13)*('Журнал электро'!$B$4:$B$33=$A19)*'Журнал электро'!$D$4:$D$33)</f>
        <v>7.5</v>
      </c>
      <c r="D19" s="8" t="n">
        <f aca="false">SUMPRODUCT(('Журнал электро'!$A$4:$A$33=D$13)*('Журнал электро'!$B$4:$B$33=$A19)*'Журнал электро'!$D$4:$D$33)</f>
        <v>1</v>
      </c>
      <c r="E19" s="8" t="n">
        <f aca="false">SUMPRODUCT(('Журнал электро'!$A$4:$A$33=E$13)*('Журнал электро'!$B$4:$B$33=$A19)*'Журнал электро'!$D$4:$D$33)</f>
        <v>1.8</v>
      </c>
      <c r="F19" s="8" t="n">
        <f aca="false">SUMPRODUCT(('Журнал электро'!$A$4:$A$33=F$13)*('Журнал электро'!$B$4:$B$33=$A19)*'Журнал электро'!$D$4:$D$33)</f>
        <v>1.4</v>
      </c>
    </row>
  </sheetData>
  <conditionalFormatting sqref="F5:F9">
    <cfRule type="expression" priority="2" aboveAverage="0" equalAverage="0" bottom="0" percent="0" rank="0" text="" dxfId="0">
      <formula>F5="Проверить двигатель"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2026-06-19T02:53:36Z</dcterms:created>
  <dc:creator>openpyxl</dc:creator>
  <dc:description/>
  <dc:language>en-US</dc:language>
  <cp:lastModifiedBy/>
  <dcterms:modified xsi:type="dcterms:W3CDTF">2026-06-19T02:54:45Z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