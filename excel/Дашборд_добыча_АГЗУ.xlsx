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Журнал замеров" sheetId="1" state="visible" r:id="rId3"/>
    <sheet name="Дашборд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<sst xmlns="http://schemas.openxmlformats.org/spreadsheetml/2006/main" count="95" uniqueCount="29">
  <si>
    <t xml:space="preserve">Скважина</t>
  </si>
  <si>
    <t xml:space="preserve">Дата замера</t>
  </si>
  <si>
    <t xml:space="preserve">Дебит нефти, т/сут</t>
  </si>
  <si>
    <t xml:space="preserve">Дебит жидкости, м3/сут</t>
  </si>
  <si>
    <t xml:space="preserve">Обводнённость, %</t>
  </si>
  <si>
    <t xml:space="preserve">Плотность, кг/м3</t>
  </si>
  <si>
    <t xml:space="preserve">Изм. дебита нефти, %</t>
  </si>
  <si>
    <t xml:space="preserve">Изм. обводнённости, п.п.</t>
  </si>
  <si>
    <t xml:space="preserve">Флаг</t>
  </si>
  <si>
    <t xml:space="preserve">СХ-23</t>
  </si>
  <si>
    <t xml:space="preserve">01.06.2026</t>
  </si>
  <si>
    <t xml:space="preserve">04.06.2026</t>
  </si>
  <si>
    <t xml:space="preserve">07.06.2026</t>
  </si>
  <si>
    <t xml:space="preserve">10.06.2026</t>
  </si>
  <si>
    <t xml:space="preserve">13.06.2026</t>
  </si>
  <si>
    <t xml:space="preserve">16.06.2026</t>
  </si>
  <si>
    <t xml:space="preserve">СХ-30</t>
  </si>
  <si>
    <t xml:space="preserve">СХ-15</t>
  </si>
  <si>
    <t xml:space="preserve">СХ-16</t>
  </si>
  <si>
    <t xml:space="preserve">СХ-29</t>
  </si>
  <si>
    <t xml:space="preserve">Дашборд: добыча и обводнённость по скважинам (данные АГЗУ)</t>
  </si>
  <si>
    <t xml:space="preserve">Дата</t>
  </si>
  <si>
    <t xml:space="preserve">Дебит нефти (первый), т/сут</t>
  </si>
  <si>
    <t xml:space="preserve">Дебит нефти (последний), т/сут</t>
  </si>
  <si>
    <t xml:space="preserve">Изменение, %</t>
  </si>
  <si>
    <t xml:space="preserve">Обводнённость (первая), %</t>
  </si>
  <si>
    <t xml:space="preserve">Обводнённость (последняя), %</t>
  </si>
  <si>
    <t xml:space="preserve">Изменение, п.п.</t>
  </si>
  <si>
    <t xml:space="preserve">Статус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</si>
</sst>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0.0"/>
    <numFmt numFmtId="166" formatCode="0"/>
    <numFmt numFmtId="167" formatCode="0.0%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Arial"/>
      <family val="0"/>
      <charset val="1"/>
    </font>
    <font>
      <sz val="11"/>
      <color rgb="FF000000"/>
      <name val="Arial"/>
      <family val="0"/>
      <charset val="1"/>
    </font>
    <font>
      <sz val="11"/>
      <color rgb="FF0000FF"/>
      <name val="Arial"/>
      <family val="0"/>
      <charset val="1"/>
    </font>
    <font>
      <b val="true"/>
      <sz val="13"/>
      <name val="Arial"/>
      <family val="0"/>
      <charset val="1"/>
    </font>
    <font>
      <sz val="11"/>
      <color rgb="FF008000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FCE4E4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">
    <dxf>
      <fill>
        <patternFill>
          <bgColor rgb="FFFCE4E4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78787"/>
      <rgbColor rgb="FF9999FF"/>
      <rgbColor rgb="FFBE4B48"/>
      <rgbColor rgb="FFFCE4E4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A7EBB"/>
      <rgbColor rgb="FF46AAC4"/>
      <rgbColor rgb="FF98B855"/>
      <rgbColor rgb="FFFFCC00"/>
      <rgbColor rgb="FFFF9900"/>
      <rgbColor rgb="FFFF6600"/>
      <rgbColor rgb="FF7D5FA0"/>
      <rgbColor rgb="FF969696"/>
      <rgbColor rgb="FF003366"/>
      <rgbColor rgb="FF4F81BD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Дебит нефти по скважинам, т/сут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Дашборд!B3</c:f>
              <c:strCache>
                <c:ptCount val="1"/>
                <c:pt idx="0">
                  <c:v>СХ-23</c:v>
                </c:pt>
              </c:strCache>
            </c:strRef>
          </c:tx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Дашборд!$A$4:$A$9</c:f>
              <c:strCache>
                <c:ptCount val="6"/>
                <c:pt idx="0">
                  <c:v>01.06.2026</c:v>
                </c:pt>
                <c:pt idx="1">
                  <c:v>04.06.2026</c:v>
                </c:pt>
                <c:pt idx="2">
                  <c:v>07.06.2026</c:v>
                </c:pt>
                <c:pt idx="3">
                  <c:v>10.06.2026</c:v>
                </c:pt>
                <c:pt idx="4">
                  <c:v>13.06.2026</c:v>
                </c:pt>
                <c:pt idx="5">
                  <c:v>16.06.2026</c:v>
                </c:pt>
              </c:strCache>
            </c:strRef>
          </c:cat>
          <c:val>
            <c:numRef>
              <c:f>Дашборд!$B$4:$B$9</c:f>
              <c:numCache>
                <c:formatCode>0.0</c:formatCode>
                <c:ptCount val="6"/>
                <c:pt idx="0">
                  <c:v>20</c:v>
                </c:pt>
                <c:pt idx="1">
                  <c:v>19.8</c:v>
                </c:pt>
                <c:pt idx="2">
                  <c:v>20.1</c:v>
                </c:pt>
                <c:pt idx="3">
                  <c:v>19.5</c:v>
                </c:pt>
                <c:pt idx="4">
                  <c:v>19.7</c:v>
                </c:pt>
                <c:pt idx="5">
                  <c:v>19.6</c:v>
                </c:pt>
              </c:numCache>
            </c:numRef>
          </c:val>
          <c:smooth val="1"/>
        </c:ser>
        <c:ser>
          <c:idx val="1"/>
          <c:order val="1"/>
          <c:tx>
            <c:strRef>
              <c:f>Дашборд!C3</c:f>
              <c:strCache>
                <c:ptCount val="1"/>
                <c:pt idx="0">
                  <c:v>СХ-30</c:v>
                </c:pt>
              </c:strCache>
            </c:strRef>
          </c:tx>
          <c:spPr>
            <a:solidFill>
              <a:srgbClr val="be4b48"/>
            </a:solidFill>
            <a:ln w="28440">
              <a:solidFill>
                <a:srgbClr val="be4b48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Дашборд!$A$4:$A$9</c:f>
              <c:strCache>
                <c:ptCount val="6"/>
                <c:pt idx="0">
                  <c:v>01.06.2026</c:v>
                </c:pt>
                <c:pt idx="1">
                  <c:v>04.06.2026</c:v>
                </c:pt>
                <c:pt idx="2">
                  <c:v>07.06.2026</c:v>
                </c:pt>
                <c:pt idx="3">
                  <c:v>10.06.2026</c:v>
                </c:pt>
                <c:pt idx="4">
                  <c:v>13.06.2026</c:v>
                </c:pt>
                <c:pt idx="5">
                  <c:v>16.06.2026</c:v>
                </c:pt>
              </c:strCache>
            </c:strRef>
          </c:cat>
          <c:val>
            <c:numRef>
              <c:f>Дашборд!$C$4:$C$9</c:f>
              <c:numCache>
                <c:formatCode>0.0</c:formatCode>
                <c:ptCount val="6"/>
                <c:pt idx="0">
                  <c:v>18</c:v>
                </c:pt>
                <c:pt idx="1">
                  <c:v>16</c:v>
                </c:pt>
                <c:pt idx="2">
                  <c:v>14</c:v>
                </c:pt>
                <c:pt idx="3">
                  <c:v>12</c:v>
                </c:pt>
                <c:pt idx="4">
                  <c:v>11</c:v>
                </c:pt>
                <c:pt idx="5">
                  <c:v>9</c:v>
                </c:pt>
              </c:numCache>
            </c:numRef>
          </c:val>
          <c:smooth val="1"/>
        </c:ser>
        <c:ser>
          <c:idx val="2"/>
          <c:order val="2"/>
          <c:tx>
            <c:strRef>
              <c:f>Дашборд!D3</c:f>
              <c:strCache>
                <c:ptCount val="1"/>
                <c:pt idx="0">
                  <c:v>СХ-15</c:v>
                </c:pt>
              </c:strCache>
            </c:strRef>
          </c:tx>
          <c:spPr>
            <a:solidFill>
              <a:srgbClr val="98b855"/>
            </a:solidFill>
            <a:ln w="28440">
              <a:solidFill>
                <a:srgbClr val="98b855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Дашборд!$A$4:$A$9</c:f>
              <c:strCache>
                <c:ptCount val="6"/>
                <c:pt idx="0">
                  <c:v>01.06.2026</c:v>
                </c:pt>
                <c:pt idx="1">
                  <c:v>04.06.2026</c:v>
                </c:pt>
                <c:pt idx="2">
                  <c:v>07.06.2026</c:v>
                </c:pt>
                <c:pt idx="3">
                  <c:v>10.06.2026</c:v>
                </c:pt>
                <c:pt idx="4">
                  <c:v>13.06.2026</c:v>
                </c:pt>
                <c:pt idx="5">
                  <c:v>16.06.2026</c:v>
                </c:pt>
              </c:strCache>
            </c:strRef>
          </c:cat>
          <c:val>
            <c:numRef>
              <c:f>Дашборд!$D$4:$D$9</c:f>
              <c:numCache>
                <c:formatCode>0.0</c:formatCode>
                <c:ptCount val="6"/>
                <c:pt idx="0">
                  <c:v>25</c:v>
                </c:pt>
                <c:pt idx="1">
                  <c:v>24</c:v>
                </c:pt>
                <c:pt idx="2">
                  <c:v>22</c:v>
                </c:pt>
                <c:pt idx="3">
                  <c:v>18</c:v>
                </c:pt>
                <c:pt idx="4">
                  <c:v>15</c:v>
                </c:pt>
                <c:pt idx="5">
                  <c:v>12</c:v>
                </c:pt>
              </c:numCache>
            </c:numRef>
          </c:val>
          <c:smooth val="1"/>
        </c:ser>
        <c:ser>
          <c:idx val="3"/>
          <c:order val="3"/>
          <c:tx>
            <c:strRef>
              <c:f>Дашборд!E3</c:f>
              <c:strCache>
                <c:ptCount val="1"/>
                <c:pt idx="0">
                  <c:v>СХ-16</c:v>
                </c:pt>
              </c:strCache>
            </c:strRef>
          </c:tx>
          <c:spPr>
            <a:solidFill>
              <a:srgbClr val="7d5fa0"/>
            </a:solidFill>
            <a:ln w="28440">
              <a:solidFill>
                <a:srgbClr val="7d5fa0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Дашборд!$A$4:$A$9</c:f>
              <c:strCache>
                <c:ptCount val="6"/>
                <c:pt idx="0">
                  <c:v>01.06.2026</c:v>
                </c:pt>
                <c:pt idx="1">
                  <c:v>04.06.2026</c:v>
                </c:pt>
                <c:pt idx="2">
                  <c:v>07.06.2026</c:v>
                </c:pt>
                <c:pt idx="3">
                  <c:v>10.06.2026</c:v>
                </c:pt>
                <c:pt idx="4">
                  <c:v>13.06.2026</c:v>
                </c:pt>
                <c:pt idx="5">
                  <c:v>16.06.2026</c:v>
                </c:pt>
              </c:strCache>
            </c:strRef>
          </c:cat>
          <c:val>
            <c:numRef>
              <c:f>Дашборд!$E$4:$E$9</c:f>
              <c:numCache>
                <c:formatCode>0.0</c:formatCode>
                <c:ptCount val="6"/>
                <c:pt idx="0">
                  <c:v>15</c:v>
                </c:pt>
                <c:pt idx="1">
                  <c:v>15.2</c:v>
                </c:pt>
                <c:pt idx="2">
                  <c:v>14.9</c:v>
                </c:pt>
                <c:pt idx="3">
                  <c:v>15.1</c:v>
                </c:pt>
                <c:pt idx="4">
                  <c:v>15</c:v>
                </c:pt>
                <c:pt idx="5">
                  <c:v>14.8</c:v>
                </c:pt>
              </c:numCache>
            </c:numRef>
          </c:val>
          <c:smooth val="1"/>
        </c:ser>
        <c:ser>
          <c:idx val="4"/>
          <c:order val="4"/>
          <c:tx>
            <c:strRef>
              <c:f>Дашборд!F3</c:f>
              <c:strCache>
                <c:ptCount val="1"/>
                <c:pt idx="0">
                  <c:v>СХ-29</c:v>
                </c:pt>
              </c:strCache>
            </c:strRef>
          </c:tx>
          <c:spPr>
            <a:solidFill>
              <a:srgbClr val="46aac4"/>
            </a:solidFill>
            <a:ln w="28440">
              <a:solidFill>
                <a:srgbClr val="46aac4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Дашборд!$A$4:$A$9</c:f>
              <c:strCache>
                <c:ptCount val="6"/>
                <c:pt idx="0">
                  <c:v>01.06.2026</c:v>
                </c:pt>
                <c:pt idx="1">
                  <c:v>04.06.2026</c:v>
                </c:pt>
                <c:pt idx="2">
                  <c:v>07.06.2026</c:v>
                </c:pt>
                <c:pt idx="3">
                  <c:v>10.06.2026</c:v>
                </c:pt>
                <c:pt idx="4">
                  <c:v>13.06.2026</c:v>
                </c:pt>
                <c:pt idx="5">
                  <c:v>16.06.2026</c:v>
                </c:pt>
              </c:strCache>
            </c:strRef>
          </c:cat>
          <c:val>
            <c:numRef>
              <c:f>Дашборд!$F$4:$F$9</c:f>
              <c:numCache>
                <c:formatCode>0.0</c:formatCode>
                <c:ptCount val="6"/>
                <c:pt idx="0">
                  <c:v>10</c:v>
                </c:pt>
                <c:pt idx="1">
                  <c:v>11</c:v>
                </c:pt>
                <c:pt idx="2">
                  <c:v>13</c:v>
                </c:pt>
                <c:pt idx="3">
                  <c:v>14</c:v>
                </c:pt>
                <c:pt idx="4">
                  <c:v>16</c:v>
                </c:pt>
                <c:pt idx="5">
                  <c:v>17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35167156"/>
        <c:axId val="87306381"/>
      </c:lineChart>
      <c:catAx>
        <c:axId val="351671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7306381"/>
        <c:crosses val="autoZero"/>
        <c:auto val="1"/>
        <c:lblAlgn val="ctr"/>
        <c:lblOffset val="100"/>
        <c:noMultiLvlLbl val="0"/>
      </c:catAx>
      <c:valAx>
        <c:axId val="87306381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0.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5167156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Обводнённость по скважинам, %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Дашборд!B12</c:f>
              <c:strCache>
                <c:ptCount val="1"/>
                <c:pt idx="0">
                  <c:v>СХ-23</c:v>
                </c:pt>
              </c:strCache>
            </c:strRef>
          </c:tx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Дашборд!$A$13:$A$18</c:f>
              <c:strCache>
                <c:ptCount val="6"/>
                <c:pt idx="0">
                  <c:v>01.06.2026</c:v>
                </c:pt>
                <c:pt idx="1">
                  <c:v>04.06.2026</c:v>
                </c:pt>
                <c:pt idx="2">
                  <c:v>07.06.2026</c:v>
                </c:pt>
                <c:pt idx="3">
                  <c:v>10.06.2026</c:v>
                </c:pt>
                <c:pt idx="4">
                  <c:v>13.06.2026</c:v>
                </c:pt>
                <c:pt idx="5">
                  <c:v>16.06.2026</c:v>
                </c:pt>
              </c:strCache>
            </c:strRef>
          </c:cat>
          <c:val>
            <c:numRef>
              <c:f>Дашборд!$B$13:$B$18</c:f>
              <c:numCache>
                <c:formatCode>0.0</c:formatCode>
                <c:ptCount val="6"/>
                <c:pt idx="0">
                  <c:v>30</c:v>
                </c:pt>
                <c:pt idx="1">
                  <c:v>31</c:v>
                </c:pt>
                <c:pt idx="2">
                  <c:v>30</c:v>
                </c:pt>
                <c:pt idx="3">
                  <c:v>29</c:v>
                </c:pt>
                <c:pt idx="4">
                  <c:v>31</c:v>
                </c:pt>
                <c:pt idx="5">
                  <c:v>30</c:v>
                </c:pt>
              </c:numCache>
            </c:numRef>
          </c:val>
          <c:smooth val="1"/>
        </c:ser>
        <c:ser>
          <c:idx val="1"/>
          <c:order val="1"/>
          <c:tx>
            <c:strRef>
              <c:f>Дашборд!C12</c:f>
              <c:strCache>
                <c:ptCount val="1"/>
                <c:pt idx="0">
                  <c:v>СХ-30</c:v>
                </c:pt>
              </c:strCache>
            </c:strRef>
          </c:tx>
          <c:spPr>
            <a:solidFill>
              <a:srgbClr val="be4b48"/>
            </a:solidFill>
            <a:ln w="28440">
              <a:solidFill>
                <a:srgbClr val="be4b48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Дашборд!$A$13:$A$18</c:f>
              <c:strCache>
                <c:ptCount val="6"/>
                <c:pt idx="0">
                  <c:v>01.06.2026</c:v>
                </c:pt>
                <c:pt idx="1">
                  <c:v>04.06.2026</c:v>
                </c:pt>
                <c:pt idx="2">
                  <c:v>07.06.2026</c:v>
                </c:pt>
                <c:pt idx="3">
                  <c:v>10.06.2026</c:v>
                </c:pt>
                <c:pt idx="4">
                  <c:v>13.06.2026</c:v>
                </c:pt>
                <c:pt idx="5">
                  <c:v>16.06.2026</c:v>
                </c:pt>
              </c:strCache>
            </c:strRef>
          </c:cat>
          <c:val>
            <c:numRef>
              <c:f>Дашборд!$C$13:$C$18</c:f>
              <c:numCache>
                <c:formatCode>0.0</c:formatCode>
                <c:ptCount val="6"/>
                <c:pt idx="0">
                  <c:v>25</c:v>
                </c:pt>
                <c:pt idx="1">
                  <c:v>26</c:v>
                </c:pt>
                <c:pt idx="2">
                  <c:v>28</c:v>
                </c:pt>
                <c:pt idx="3">
                  <c:v>29</c:v>
                </c:pt>
                <c:pt idx="4">
                  <c:v>31</c:v>
                </c:pt>
                <c:pt idx="5">
                  <c:v>33</c:v>
                </c:pt>
              </c:numCache>
            </c:numRef>
          </c:val>
          <c:smooth val="1"/>
        </c:ser>
        <c:ser>
          <c:idx val="2"/>
          <c:order val="2"/>
          <c:tx>
            <c:strRef>
              <c:f>Дашборд!D12</c:f>
              <c:strCache>
                <c:ptCount val="1"/>
                <c:pt idx="0">
                  <c:v>СХ-15</c:v>
                </c:pt>
              </c:strCache>
            </c:strRef>
          </c:tx>
          <c:spPr>
            <a:solidFill>
              <a:srgbClr val="98b855"/>
            </a:solidFill>
            <a:ln w="28440">
              <a:solidFill>
                <a:srgbClr val="98b855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Дашборд!$A$13:$A$18</c:f>
              <c:strCache>
                <c:ptCount val="6"/>
                <c:pt idx="0">
                  <c:v>01.06.2026</c:v>
                </c:pt>
                <c:pt idx="1">
                  <c:v>04.06.2026</c:v>
                </c:pt>
                <c:pt idx="2">
                  <c:v>07.06.2026</c:v>
                </c:pt>
                <c:pt idx="3">
                  <c:v>10.06.2026</c:v>
                </c:pt>
                <c:pt idx="4">
                  <c:v>13.06.2026</c:v>
                </c:pt>
                <c:pt idx="5">
                  <c:v>16.06.2026</c:v>
                </c:pt>
              </c:strCache>
            </c:strRef>
          </c:cat>
          <c:val>
            <c:numRef>
              <c:f>Дашборд!$D$13:$D$18</c:f>
              <c:numCache>
                <c:formatCode>0.0</c:formatCode>
                <c:ptCount val="6"/>
                <c:pt idx="0">
                  <c:v>20</c:v>
                </c:pt>
                <c:pt idx="1">
                  <c:v>28</c:v>
                </c:pt>
                <c:pt idx="2">
                  <c:v>38</c:v>
                </c:pt>
                <c:pt idx="3">
                  <c:v>50</c:v>
                </c:pt>
                <c:pt idx="4">
                  <c:v>60</c:v>
                </c:pt>
                <c:pt idx="5">
                  <c:v>69</c:v>
                </c:pt>
              </c:numCache>
            </c:numRef>
          </c:val>
          <c:smooth val="1"/>
        </c:ser>
        <c:ser>
          <c:idx val="3"/>
          <c:order val="3"/>
          <c:tx>
            <c:strRef>
              <c:f>Дашборд!E12</c:f>
              <c:strCache>
                <c:ptCount val="1"/>
                <c:pt idx="0">
                  <c:v>СХ-16</c:v>
                </c:pt>
              </c:strCache>
            </c:strRef>
          </c:tx>
          <c:spPr>
            <a:solidFill>
              <a:srgbClr val="7d5fa0"/>
            </a:solidFill>
            <a:ln w="28440">
              <a:solidFill>
                <a:srgbClr val="7d5fa0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Дашборд!$A$13:$A$18</c:f>
              <c:strCache>
                <c:ptCount val="6"/>
                <c:pt idx="0">
                  <c:v>01.06.2026</c:v>
                </c:pt>
                <c:pt idx="1">
                  <c:v>04.06.2026</c:v>
                </c:pt>
                <c:pt idx="2">
                  <c:v>07.06.2026</c:v>
                </c:pt>
                <c:pt idx="3">
                  <c:v>10.06.2026</c:v>
                </c:pt>
                <c:pt idx="4">
                  <c:v>13.06.2026</c:v>
                </c:pt>
                <c:pt idx="5">
                  <c:v>16.06.2026</c:v>
                </c:pt>
              </c:strCache>
            </c:strRef>
          </c:cat>
          <c:val>
            <c:numRef>
              <c:f>Дашборд!$E$13:$E$18</c:f>
              <c:numCache>
                <c:formatCode>0.0</c:formatCode>
                <c:ptCount val="6"/>
                <c:pt idx="0">
                  <c:v>40</c:v>
                </c:pt>
                <c:pt idx="1">
                  <c:v>41</c:v>
                </c:pt>
                <c:pt idx="2">
                  <c:v>39</c:v>
                </c:pt>
                <c:pt idx="3">
                  <c:v>40</c:v>
                </c:pt>
                <c:pt idx="4">
                  <c:v>41</c:v>
                </c:pt>
                <c:pt idx="5">
                  <c:v>40</c:v>
                </c:pt>
              </c:numCache>
            </c:numRef>
          </c:val>
          <c:smooth val="1"/>
        </c:ser>
        <c:ser>
          <c:idx val="4"/>
          <c:order val="4"/>
          <c:tx>
            <c:strRef>
              <c:f>Дашборд!F12</c:f>
              <c:strCache>
                <c:ptCount val="1"/>
                <c:pt idx="0">
                  <c:v>СХ-29</c:v>
                </c:pt>
              </c:strCache>
            </c:strRef>
          </c:tx>
          <c:spPr>
            <a:solidFill>
              <a:srgbClr val="46aac4"/>
            </a:solidFill>
            <a:ln w="28440">
              <a:solidFill>
                <a:srgbClr val="46aac4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Дашборд!$A$13:$A$18</c:f>
              <c:strCache>
                <c:ptCount val="6"/>
                <c:pt idx="0">
                  <c:v>01.06.2026</c:v>
                </c:pt>
                <c:pt idx="1">
                  <c:v>04.06.2026</c:v>
                </c:pt>
                <c:pt idx="2">
                  <c:v>07.06.2026</c:v>
                </c:pt>
                <c:pt idx="3">
                  <c:v>10.06.2026</c:v>
                </c:pt>
                <c:pt idx="4">
                  <c:v>13.06.2026</c:v>
                </c:pt>
                <c:pt idx="5">
                  <c:v>16.06.2026</c:v>
                </c:pt>
              </c:strCache>
            </c:strRef>
          </c:cat>
          <c:val>
            <c:numRef>
              <c:f>Дашборд!$F$13:$F$18</c:f>
              <c:numCache>
                <c:formatCode>0.0</c:formatCode>
                <c:ptCount val="6"/>
                <c:pt idx="0">
                  <c:v>55</c:v>
                </c:pt>
                <c:pt idx="1">
                  <c:v>52</c:v>
                </c:pt>
                <c:pt idx="2">
                  <c:v>48</c:v>
                </c:pt>
                <c:pt idx="3">
                  <c:v>45</c:v>
                </c:pt>
                <c:pt idx="4">
                  <c:v>42</c:v>
                </c:pt>
                <c:pt idx="5">
                  <c:v>40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3642823"/>
        <c:axId val="47712593"/>
      </c:lineChart>
      <c:catAx>
        <c:axId val="36428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7712593"/>
        <c:crosses val="autoZero"/>
        <c:auto val="1"/>
        <c:lblAlgn val="ctr"/>
        <c:lblOffset val="100"/>
        <c:noMultiLvlLbl val="0"/>
      </c:catAx>
      <c:valAx>
        <c:axId val="47712593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0.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642823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Скважины по дебиту нефти (последний замер)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Дашборд!C21</c:f>
              <c:strCache>
                <c:ptCount val="1"/>
                <c:pt idx="0">
                  <c:v>Дебит нефти (последний), т/сут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Дашборд!$A$22:$A$26</c:f>
              <c:strCache>
                <c:ptCount val="5"/>
                <c:pt idx="0">
                  <c:v>СХ-23</c:v>
                </c:pt>
                <c:pt idx="1">
                  <c:v>СХ-30</c:v>
                </c:pt>
                <c:pt idx="2">
                  <c:v>СХ-15</c:v>
                </c:pt>
                <c:pt idx="3">
                  <c:v>СХ-16</c:v>
                </c:pt>
                <c:pt idx="4">
                  <c:v>СХ-29</c:v>
                </c:pt>
              </c:strCache>
            </c:strRef>
          </c:cat>
          <c:val>
            <c:numRef>
              <c:f>Дашборд!$C$22:$C$26</c:f>
              <c:numCache>
                <c:formatCode>0.0</c:formatCode>
                <c:ptCount val="5"/>
                <c:pt idx="0">
                  <c:v>19.6</c:v>
                </c:pt>
                <c:pt idx="1">
                  <c:v>9</c:v>
                </c:pt>
                <c:pt idx="2">
                  <c:v>12</c:v>
                </c:pt>
                <c:pt idx="3">
                  <c:v>14.8</c:v>
                </c:pt>
                <c:pt idx="4">
                  <c:v>17</c:v>
                </c:pt>
              </c:numCache>
            </c:numRef>
          </c:val>
        </c:ser>
        <c:gapWidth val="150"/>
        <c:overlap val="0"/>
        <c:axId val="89770205"/>
        <c:axId val="41008860"/>
      </c:barChart>
      <c:catAx>
        <c:axId val="8977020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1008860"/>
        <c:crosses val="autoZero"/>
        <c:auto val="1"/>
        <c:lblAlgn val="ctr"/>
        <c:lblOffset val="100"/>
        <c:noMultiLvlLbl val="0"/>
      </c:catAx>
      <c:valAx>
        <c:axId val="41008860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0.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9770205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9</xdr:col>
      <xdr:colOff>0</xdr:colOff>
      <xdr:row>1</xdr:row>
      <xdr:rowOff>175680</xdr:rowOff>
    </xdr:from>
    <xdr:to>
      <xdr:col>19</xdr:col>
      <xdr:colOff>364680</xdr:colOff>
      <xdr:row>17</xdr:row>
      <xdr:rowOff>7560</xdr:rowOff>
    </xdr:to>
    <xdr:graphicFrame>
      <xdr:nvGraphicFramePr>
        <xdr:cNvPr id="0" name="Chart 1"/>
        <xdr:cNvGraphicFramePr/>
      </xdr:nvGraphicFramePr>
      <xdr:xfrm>
        <a:off x="11607120" y="380880"/>
        <a:ext cx="647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9</xdr:col>
      <xdr:colOff>0</xdr:colOff>
      <xdr:row>20</xdr:row>
      <xdr:rowOff>176040</xdr:rowOff>
    </xdr:from>
    <xdr:to>
      <xdr:col>19</xdr:col>
      <xdr:colOff>364680</xdr:colOff>
      <xdr:row>36</xdr:row>
      <xdr:rowOff>7560</xdr:rowOff>
    </xdr:to>
    <xdr:graphicFrame>
      <xdr:nvGraphicFramePr>
        <xdr:cNvPr id="1" name="Chart 2"/>
        <xdr:cNvGraphicFramePr/>
      </xdr:nvGraphicFramePr>
      <xdr:xfrm>
        <a:off x="11607120" y="4000680"/>
        <a:ext cx="647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9</xdr:col>
      <xdr:colOff>0</xdr:colOff>
      <xdr:row>39</xdr:row>
      <xdr:rowOff>176040</xdr:rowOff>
    </xdr:from>
    <xdr:to>
      <xdr:col>19</xdr:col>
      <xdr:colOff>364680</xdr:colOff>
      <xdr:row>55</xdr:row>
      <xdr:rowOff>7560</xdr:rowOff>
    </xdr:to>
    <xdr:graphicFrame>
      <xdr:nvGraphicFramePr>
        <xdr:cNvPr id="2" name="Chart 3"/>
        <xdr:cNvGraphicFramePr/>
      </xdr:nvGraphicFramePr>
      <xdr:xfrm>
        <a:off x="11607120" y="7620120"/>
        <a:ext cx="647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3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4"/>
    <col collapsed="false" customWidth="true" hidden="false" outlineLevel="0" max="3" min="3" style="0" width="18"/>
    <col collapsed="false" customWidth="true" hidden="false" outlineLevel="0" max="4" min="4" style="0" width="20"/>
    <col collapsed="false" customWidth="true" hidden="false" outlineLevel="0" max="5" min="5" style="0" width="16"/>
    <col collapsed="false" customWidth="true" hidden="false" outlineLevel="0" max="6" min="6" style="0" width="14"/>
    <col collapsed="false" customWidth="true" hidden="false" outlineLevel="0" max="7" min="7" style="0" width="16"/>
    <col collapsed="false" customWidth="true" hidden="false" outlineLevel="0" max="8" min="8" style="0" width="18"/>
    <col collapsed="false" customWidth="true" hidden="false" outlineLevel="0" max="9" min="9" style="0" width="24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customFormat="false" ht="15" hidden="false" customHeight="false" outlineLevel="0" collapsed="false">
      <c r="A2" s="2" t="s">
        <v>9</v>
      </c>
      <c r="B2" s="3" t="s">
        <v>10</v>
      </c>
      <c r="C2" s="4" t="n">
        <v>20</v>
      </c>
      <c r="D2" s="4" t="n">
        <v>28.6</v>
      </c>
      <c r="E2" s="4" t="n">
        <v>30</v>
      </c>
      <c r="F2" s="5" t="n">
        <v>880</v>
      </c>
      <c r="G2" s="6" t="str">
        <f aca="false">IF(A2=A1,(C2-C1)/C1,"")</f>
        <v/>
      </c>
      <c r="H2" s="7" t="str">
        <f aca="false">IF(A2=A1,E2-E1,"")</f>
        <v/>
      </c>
      <c r="I2" s="2" t="str">
        <f aca="false">IF(AND(ISNUMBER(G2),G2&lt;=-0.1,ISNUMBER(H2),H2&gt;=5),"Падение дебита и рост обв.",IF(AND(ISNUMBER(G2),G2&lt;=-0.1),"Падение дебита",IF(AND(ISNUMBER(H2),H2&gt;=5),"Рост обводнённости","")))</f>
        <v/>
      </c>
    </row>
    <row r="3" customFormat="false" ht="15" hidden="false" customHeight="false" outlineLevel="0" collapsed="false">
      <c r="A3" s="2" t="s">
        <v>9</v>
      </c>
      <c r="B3" s="3" t="s">
        <v>11</v>
      </c>
      <c r="C3" s="4" t="n">
        <v>19.8</v>
      </c>
      <c r="D3" s="4" t="n">
        <v>28.7</v>
      </c>
      <c r="E3" s="4" t="n">
        <v>31</v>
      </c>
      <c r="F3" s="5" t="n">
        <v>879</v>
      </c>
      <c r="G3" s="6" t="n">
        <f aca="false">IF(A3=A2,(C3-C2)/C2,"")</f>
        <v>-0.00999999999999996</v>
      </c>
      <c r="H3" s="7" t="n">
        <f aca="false">IF(A3=A2,E3-E2,"")</f>
        <v>1</v>
      </c>
      <c r="I3" s="2" t="str">
        <f aca="false">IF(AND(ISNUMBER(G3),G3&lt;=-0.1,ISNUMBER(H3),H3&gt;=5),"Падение дебита и рост обв.",IF(AND(ISNUMBER(G3),G3&lt;=-0.1),"Падение дебита",IF(AND(ISNUMBER(H3),H3&gt;=5),"Рост обводнённости","")))</f>
        <v/>
      </c>
    </row>
    <row r="4" customFormat="false" ht="15" hidden="false" customHeight="false" outlineLevel="0" collapsed="false">
      <c r="A4" s="2" t="s">
        <v>9</v>
      </c>
      <c r="B4" s="3" t="s">
        <v>12</v>
      </c>
      <c r="C4" s="4" t="n">
        <v>20.1</v>
      </c>
      <c r="D4" s="4" t="n">
        <v>28.7</v>
      </c>
      <c r="E4" s="4" t="n">
        <v>30</v>
      </c>
      <c r="F4" s="5" t="n">
        <v>881</v>
      </c>
      <c r="G4" s="6" t="n">
        <f aca="false">IF(A4=A3,(C4-C3)/C3,"")</f>
        <v>0.0151515151515152</v>
      </c>
      <c r="H4" s="7" t="n">
        <f aca="false">IF(A4=A3,E4-E3,"")</f>
        <v>-1</v>
      </c>
      <c r="I4" s="2" t="str">
        <f aca="false">IF(AND(ISNUMBER(G4),G4&lt;=-0.1,ISNUMBER(H4),H4&gt;=5),"Падение дебита и рост обв.",IF(AND(ISNUMBER(G4),G4&lt;=-0.1),"Падение дебита",IF(AND(ISNUMBER(H4),H4&gt;=5),"Рост обводнённости","")))</f>
        <v/>
      </c>
    </row>
    <row r="5" customFormat="false" ht="15" hidden="false" customHeight="false" outlineLevel="0" collapsed="false">
      <c r="A5" s="2" t="s">
        <v>9</v>
      </c>
      <c r="B5" s="3" t="s">
        <v>13</v>
      </c>
      <c r="C5" s="4" t="n">
        <v>19.5</v>
      </c>
      <c r="D5" s="4" t="n">
        <v>27.5</v>
      </c>
      <c r="E5" s="4" t="n">
        <v>29</v>
      </c>
      <c r="F5" s="5" t="n">
        <v>878</v>
      </c>
      <c r="G5" s="6" t="n">
        <f aca="false">IF(A5=A4,(C5-C4)/C4,"")</f>
        <v>-0.0298507462686568</v>
      </c>
      <c r="H5" s="7" t="n">
        <f aca="false">IF(A5=A4,E5-E4,"")</f>
        <v>-1</v>
      </c>
      <c r="I5" s="2" t="str">
        <f aca="false">IF(AND(ISNUMBER(G5),G5&lt;=-0.1,ISNUMBER(H5),H5&gt;=5),"Падение дебита и рост обв.",IF(AND(ISNUMBER(G5),G5&lt;=-0.1),"Падение дебита",IF(AND(ISNUMBER(H5),H5&gt;=5),"Рост обводнённости","")))</f>
        <v/>
      </c>
    </row>
    <row r="6" customFormat="false" ht="15" hidden="false" customHeight="false" outlineLevel="0" collapsed="false">
      <c r="A6" s="2" t="s">
        <v>9</v>
      </c>
      <c r="B6" s="3" t="s">
        <v>14</v>
      </c>
      <c r="C6" s="4" t="n">
        <v>19.7</v>
      </c>
      <c r="D6" s="4" t="n">
        <v>28.6</v>
      </c>
      <c r="E6" s="4" t="n">
        <v>31</v>
      </c>
      <c r="F6" s="5" t="n">
        <v>880</v>
      </c>
      <c r="G6" s="6" t="n">
        <f aca="false">IF(A6=A5,(C6-C5)/C5,"")</f>
        <v>0.0102564102564102</v>
      </c>
      <c r="H6" s="7" t="n">
        <f aca="false">IF(A6=A5,E6-E5,"")</f>
        <v>2</v>
      </c>
      <c r="I6" s="2" t="str">
        <f aca="false">IF(AND(ISNUMBER(G6),G6&lt;=-0.1,ISNUMBER(H6),H6&gt;=5),"Падение дебита и рост обв.",IF(AND(ISNUMBER(G6),G6&lt;=-0.1),"Падение дебита",IF(AND(ISNUMBER(H6),H6&gt;=5),"Рост обводнённости","")))</f>
        <v/>
      </c>
    </row>
    <row r="7" customFormat="false" ht="15" hidden="false" customHeight="false" outlineLevel="0" collapsed="false">
      <c r="A7" s="2" t="s">
        <v>9</v>
      </c>
      <c r="B7" s="3" t="s">
        <v>15</v>
      </c>
      <c r="C7" s="4" t="n">
        <v>19.6</v>
      </c>
      <c r="D7" s="4" t="n">
        <v>28</v>
      </c>
      <c r="E7" s="4" t="n">
        <v>30</v>
      </c>
      <c r="F7" s="5" t="n">
        <v>879</v>
      </c>
      <c r="G7" s="6" t="n">
        <f aca="false">IF(A7=A6,(C7-C6)/C6,"")</f>
        <v>-0.00507614213197959</v>
      </c>
      <c r="H7" s="7" t="n">
        <f aca="false">IF(A7=A6,E7-E6,"")</f>
        <v>-1</v>
      </c>
      <c r="I7" s="2" t="str">
        <f aca="false">IF(AND(ISNUMBER(G7),G7&lt;=-0.1,ISNUMBER(H7),H7&gt;=5),"Падение дебита и рост обв.",IF(AND(ISNUMBER(G7),G7&lt;=-0.1),"Падение дебита",IF(AND(ISNUMBER(H7),H7&gt;=5),"Рост обводнённости","")))</f>
        <v/>
      </c>
    </row>
    <row r="8" customFormat="false" ht="15" hidden="false" customHeight="false" outlineLevel="0" collapsed="false">
      <c r="A8" s="2" t="s">
        <v>16</v>
      </c>
      <c r="B8" s="3" t="s">
        <v>10</v>
      </c>
      <c r="C8" s="4" t="n">
        <v>18</v>
      </c>
      <c r="D8" s="4" t="n">
        <v>24</v>
      </c>
      <c r="E8" s="4" t="n">
        <v>25</v>
      </c>
      <c r="F8" s="5" t="n">
        <v>875</v>
      </c>
      <c r="G8" s="6" t="str">
        <f aca="false">IF(A8=A7,(C8-C7)/C7,"")</f>
        <v/>
      </c>
      <c r="H8" s="7" t="str">
        <f aca="false">IF(A8=A7,E8-E7,"")</f>
        <v/>
      </c>
      <c r="I8" s="2" t="str">
        <f aca="false">IF(AND(ISNUMBER(G8),G8&lt;=-0.1,ISNUMBER(H8),H8&gt;=5),"Падение дебита и рост обв.",IF(AND(ISNUMBER(G8),G8&lt;=-0.1),"Падение дебита",IF(AND(ISNUMBER(H8),H8&gt;=5),"Рост обводнённости","")))</f>
        <v/>
      </c>
    </row>
    <row r="9" customFormat="false" ht="15" hidden="false" customHeight="false" outlineLevel="0" collapsed="false">
      <c r="A9" s="2" t="s">
        <v>16</v>
      </c>
      <c r="B9" s="3" t="s">
        <v>11</v>
      </c>
      <c r="C9" s="4" t="n">
        <v>16</v>
      </c>
      <c r="D9" s="4" t="n">
        <v>21.6</v>
      </c>
      <c r="E9" s="4" t="n">
        <v>26</v>
      </c>
      <c r="F9" s="5" t="n">
        <v>874</v>
      </c>
      <c r="G9" s="6" t="n">
        <f aca="false">IF(A9=A8,(C9-C8)/C8,"")</f>
        <v>-0.111111111111111</v>
      </c>
      <c r="H9" s="7" t="n">
        <f aca="false">IF(A9=A8,E9-E8,"")</f>
        <v>1</v>
      </c>
      <c r="I9" s="2" t="str">
        <f aca="false">IF(AND(ISNUMBER(G9),G9&lt;=-0.1,ISNUMBER(H9),H9&gt;=5),"Падение дебита и рост обв.",IF(AND(ISNUMBER(G9),G9&lt;=-0.1),"Падение дебита",IF(AND(ISNUMBER(H9),H9&gt;=5),"Рост обводнённости","")))</f>
        <v>Падение дебита</v>
      </c>
    </row>
    <row r="10" customFormat="false" ht="15" hidden="false" customHeight="false" outlineLevel="0" collapsed="false">
      <c r="A10" s="2" t="s">
        <v>16</v>
      </c>
      <c r="B10" s="3" t="s">
        <v>12</v>
      </c>
      <c r="C10" s="4" t="n">
        <v>14</v>
      </c>
      <c r="D10" s="4" t="n">
        <v>19.4</v>
      </c>
      <c r="E10" s="4" t="n">
        <v>28</v>
      </c>
      <c r="F10" s="5" t="n">
        <v>876</v>
      </c>
      <c r="G10" s="6" t="n">
        <f aca="false">IF(A10=A9,(C10-C9)/C9,"")</f>
        <v>-0.125</v>
      </c>
      <c r="H10" s="7" t="n">
        <f aca="false">IF(A10=A9,E10-E9,"")</f>
        <v>2</v>
      </c>
      <c r="I10" s="2" t="str">
        <f aca="false">IF(AND(ISNUMBER(G10),G10&lt;=-0.1,ISNUMBER(H10),H10&gt;=5),"Падение дебита и рост обв.",IF(AND(ISNUMBER(G10),G10&lt;=-0.1),"Падение дебита",IF(AND(ISNUMBER(H10),H10&gt;=5),"Рост обводнённости","")))</f>
        <v>Падение дебита</v>
      </c>
    </row>
    <row r="11" customFormat="false" ht="15" hidden="false" customHeight="false" outlineLevel="0" collapsed="false">
      <c r="A11" s="2" t="s">
        <v>16</v>
      </c>
      <c r="B11" s="3" t="s">
        <v>13</v>
      </c>
      <c r="C11" s="4" t="n">
        <v>12</v>
      </c>
      <c r="D11" s="4" t="n">
        <v>16.9</v>
      </c>
      <c r="E11" s="4" t="n">
        <v>29</v>
      </c>
      <c r="F11" s="5" t="n">
        <v>873</v>
      </c>
      <c r="G11" s="6" t="n">
        <f aca="false">IF(A11=A10,(C11-C10)/C10,"")</f>
        <v>-0.142857142857143</v>
      </c>
      <c r="H11" s="7" t="n">
        <f aca="false">IF(A11=A10,E11-E10,"")</f>
        <v>1</v>
      </c>
      <c r="I11" s="2" t="str">
        <f aca="false">IF(AND(ISNUMBER(G11),G11&lt;=-0.1,ISNUMBER(H11),H11&gt;=5),"Падение дебита и рост обв.",IF(AND(ISNUMBER(G11),G11&lt;=-0.1),"Падение дебита",IF(AND(ISNUMBER(H11),H11&gt;=5),"Рост обводнённости","")))</f>
        <v>Падение дебита</v>
      </c>
    </row>
    <row r="12" customFormat="false" ht="15" hidden="false" customHeight="false" outlineLevel="0" collapsed="false">
      <c r="A12" s="2" t="s">
        <v>16</v>
      </c>
      <c r="B12" s="3" t="s">
        <v>14</v>
      </c>
      <c r="C12" s="4" t="n">
        <v>11</v>
      </c>
      <c r="D12" s="4" t="n">
        <v>15.9</v>
      </c>
      <c r="E12" s="4" t="n">
        <v>31</v>
      </c>
      <c r="F12" s="5" t="n">
        <v>875</v>
      </c>
      <c r="G12" s="6" t="n">
        <f aca="false">IF(A12=A11,(C12-C11)/C11,"")</f>
        <v>-0.0833333333333333</v>
      </c>
      <c r="H12" s="7" t="n">
        <f aca="false">IF(A12=A11,E12-E11,"")</f>
        <v>2</v>
      </c>
      <c r="I12" s="2" t="str">
        <f aca="false">IF(AND(ISNUMBER(G12),G12&lt;=-0.1,ISNUMBER(H12),H12&gt;=5),"Падение дебита и рост обв.",IF(AND(ISNUMBER(G12),G12&lt;=-0.1),"Падение дебита",IF(AND(ISNUMBER(H12),H12&gt;=5),"Рост обводнённости","")))</f>
        <v/>
      </c>
    </row>
    <row r="13" customFormat="false" ht="15" hidden="false" customHeight="false" outlineLevel="0" collapsed="false">
      <c r="A13" s="2" t="s">
        <v>16</v>
      </c>
      <c r="B13" s="3" t="s">
        <v>15</v>
      </c>
      <c r="C13" s="4" t="n">
        <v>9</v>
      </c>
      <c r="D13" s="4" t="n">
        <v>13.4</v>
      </c>
      <c r="E13" s="4" t="n">
        <v>33</v>
      </c>
      <c r="F13" s="5" t="n">
        <v>872</v>
      </c>
      <c r="G13" s="6" t="n">
        <f aca="false">IF(A13=A12,(C13-C12)/C12,"")</f>
        <v>-0.181818181818182</v>
      </c>
      <c r="H13" s="7" t="n">
        <f aca="false">IF(A13=A12,E13-E12,"")</f>
        <v>2</v>
      </c>
      <c r="I13" s="2" t="str">
        <f aca="false">IF(AND(ISNUMBER(G13),G13&lt;=-0.1,ISNUMBER(H13),H13&gt;=5),"Падение дебита и рост обв.",IF(AND(ISNUMBER(G13),G13&lt;=-0.1),"Падение дебита",IF(AND(ISNUMBER(H13),H13&gt;=5),"Рост обводнённости","")))</f>
        <v>Падение дебита</v>
      </c>
    </row>
    <row r="14" customFormat="false" ht="15" hidden="false" customHeight="false" outlineLevel="0" collapsed="false">
      <c r="A14" s="2" t="s">
        <v>17</v>
      </c>
      <c r="B14" s="3" t="s">
        <v>10</v>
      </c>
      <c r="C14" s="4" t="n">
        <v>25</v>
      </c>
      <c r="D14" s="4" t="n">
        <v>31.2</v>
      </c>
      <c r="E14" s="4" t="n">
        <v>20</v>
      </c>
      <c r="F14" s="5" t="n">
        <v>865</v>
      </c>
      <c r="G14" s="6" t="str">
        <f aca="false">IF(A14=A13,(C14-C13)/C13,"")</f>
        <v/>
      </c>
      <c r="H14" s="7" t="str">
        <f aca="false">IF(A14=A13,E14-E13,"")</f>
        <v/>
      </c>
      <c r="I14" s="2" t="str">
        <f aca="false">IF(AND(ISNUMBER(G14),G14&lt;=-0.1,ISNUMBER(H14),H14&gt;=5),"Падение дебита и рост обв.",IF(AND(ISNUMBER(G14),G14&lt;=-0.1),"Падение дебита",IF(AND(ISNUMBER(H14),H14&gt;=5),"Рост обводнённости","")))</f>
        <v/>
      </c>
    </row>
    <row r="15" customFormat="false" ht="15" hidden="false" customHeight="false" outlineLevel="0" collapsed="false">
      <c r="A15" s="2" t="s">
        <v>17</v>
      </c>
      <c r="B15" s="3" t="s">
        <v>11</v>
      </c>
      <c r="C15" s="4" t="n">
        <v>24</v>
      </c>
      <c r="D15" s="4" t="n">
        <v>33.3</v>
      </c>
      <c r="E15" s="4" t="n">
        <v>28</v>
      </c>
      <c r="F15" s="5" t="n">
        <v>866</v>
      </c>
      <c r="G15" s="6" t="n">
        <f aca="false">IF(A15=A14,(C15-C14)/C14,"")</f>
        <v>-0.04</v>
      </c>
      <c r="H15" s="7" t="n">
        <f aca="false">IF(A15=A14,E15-E14,"")</f>
        <v>8</v>
      </c>
      <c r="I15" s="2" t="str">
        <f aca="false">IF(AND(ISNUMBER(G15),G15&lt;=-0.1,ISNUMBER(H15),H15&gt;=5),"Падение дебита и рост обв.",IF(AND(ISNUMBER(G15),G15&lt;=-0.1),"Падение дебита",IF(AND(ISNUMBER(H15),H15&gt;=5),"Рост обводнённости","")))</f>
        <v>Рост обводнённости</v>
      </c>
    </row>
    <row r="16" customFormat="false" ht="15" hidden="false" customHeight="false" outlineLevel="0" collapsed="false">
      <c r="A16" s="2" t="s">
        <v>17</v>
      </c>
      <c r="B16" s="3" t="s">
        <v>12</v>
      </c>
      <c r="C16" s="4" t="n">
        <v>22</v>
      </c>
      <c r="D16" s="4" t="n">
        <v>35.5</v>
      </c>
      <c r="E16" s="4" t="n">
        <v>38</v>
      </c>
      <c r="F16" s="5" t="n">
        <v>864</v>
      </c>
      <c r="G16" s="6" t="n">
        <f aca="false">IF(A16=A15,(C16-C15)/C15,"")</f>
        <v>-0.0833333333333333</v>
      </c>
      <c r="H16" s="7" t="n">
        <f aca="false">IF(A16=A15,E16-E15,"")</f>
        <v>10</v>
      </c>
      <c r="I16" s="2" t="str">
        <f aca="false">IF(AND(ISNUMBER(G16),G16&lt;=-0.1,ISNUMBER(H16),H16&gt;=5),"Падение дебита и рост обв.",IF(AND(ISNUMBER(G16),G16&lt;=-0.1),"Падение дебита",IF(AND(ISNUMBER(H16),H16&gt;=5),"Рост обводнённости","")))</f>
        <v>Рост обводнённости</v>
      </c>
    </row>
    <row r="17" customFormat="false" ht="15" hidden="false" customHeight="false" outlineLevel="0" collapsed="false">
      <c r="A17" s="2" t="s">
        <v>17</v>
      </c>
      <c r="B17" s="3" t="s">
        <v>13</v>
      </c>
      <c r="C17" s="4" t="n">
        <v>18</v>
      </c>
      <c r="D17" s="4" t="n">
        <v>36</v>
      </c>
      <c r="E17" s="4" t="n">
        <v>50</v>
      </c>
      <c r="F17" s="5" t="n">
        <v>863</v>
      </c>
      <c r="G17" s="6" t="n">
        <f aca="false">IF(A17=A16,(C17-C16)/C16,"")</f>
        <v>-0.181818181818182</v>
      </c>
      <c r="H17" s="7" t="n">
        <f aca="false">IF(A17=A16,E17-E16,"")</f>
        <v>12</v>
      </c>
      <c r="I17" s="2" t="str">
        <f aca="false">IF(AND(ISNUMBER(G17),G17&lt;=-0.1,ISNUMBER(H17),H17&gt;=5),"Падение дебита и рост обв.",IF(AND(ISNUMBER(G17),G17&lt;=-0.1),"Падение дебита",IF(AND(ISNUMBER(H17),H17&gt;=5),"Рост обводнённости","")))</f>
        <v>Падение дебита и рост обв.</v>
      </c>
    </row>
    <row r="18" customFormat="false" ht="15" hidden="false" customHeight="false" outlineLevel="0" collapsed="false">
      <c r="A18" s="2" t="s">
        <v>17</v>
      </c>
      <c r="B18" s="3" t="s">
        <v>14</v>
      </c>
      <c r="C18" s="4" t="n">
        <v>15</v>
      </c>
      <c r="D18" s="4" t="n">
        <v>37.5</v>
      </c>
      <c r="E18" s="4" t="n">
        <v>60</v>
      </c>
      <c r="F18" s="5" t="n">
        <v>862</v>
      </c>
      <c r="G18" s="6" t="n">
        <f aca="false">IF(A18=A17,(C18-C17)/C17,"")</f>
        <v>-0.166666666666667</v>
      </c>
      <c r="H18" s="7" t="n">
        <f aca="false">IF(A18=A17,E18-E17,"")</f>
        <v>10</v>
      </c>
      <c r="I18" s="2" t="str">
        <f aca="false">IF(AND(ISNUMBER(G18),G18&lt;=-0.1,ISNUMBER(H18),H18&gt;=5),"Падение дебита и рост обв.",IF(AND(ISNUMBER(G18),G18&lt;=-0.1),"Падение дебита",IF(AND(ISNUMBER(H18),H18&gt;=5),"Рост обводнённости","")))</f>
        <v>Падение дебита и рост обв.</v>
      </c>
    </row>
    <row r="19" customFormat="false" ht="15" hidden="false" customHeight="false" outlineLevel="0" collapsed="false">
      <c r="A19" s="2" t="s">
        <v>17</v>
      </c>
      <c r="B19" s="3" t="s">
        <v>15</v>
      </c>
      <c r="C19" s="4" t="n">
        <v>12</v>
      </c>
      <c r="D19" s="4" t="n">
        <v>38.7</v>
      </c>
      <c r="E19" s="4" t="n">
        <v>69</v>
      </c>
      <c r="F19" s="5" t="n">
        <v>860</v>
      </c>
      <c r="G19" s="6" t="n">
        <f aca="false">IF(A19=A18,(C19-C18)/C18,"")</f>
        <v>-0.2</v>
      </c>
      <c r="H19" s="7" t="n">
        <f aca="false">IF(A19=A18,E19-E18,"")</f>
        <v>9</v>
      </c>
      <c r="I19" s="2" t="str">
        <f aca="false">IF(AND(ISNUMBER(G19),G19&lt;=-0.1,ISNUMBER(H19),H19&gt;=5),"Падение дебита и рост обв.",IF(AND(ISNUMBER(G19),G19&lt;=-0.1),"Падение дебита",IF(AND(ISNUMBER(H19),H19&gt;=5),"Рост обводнённости","")))</f>
        <v>Падение дебита и рост обв.</v>
      </c>
    </row>
    <row r="20" customFormat="false" ht="15" hidden="false" customHeight="false" outlineLevel="0" collapsed="false">
      <c r="A20" s="2" t="s">
        <v>18</v>
      </c>
      <c r="B20" s="3" t="s">
        <v>10</v>
      </c>
      <c r="C20" s="4" t="n">
        <v>15</v>
      </c>
      <c r="D20" s="4" t="n">
        <v>25</v>
      </c>
      <c r="E20" s="4" t="n">
        <v>40</v>
      </c>
      <c r="F20" s="5" t="n">
        <v>890</v>
      </c>
      <c r="G20" s="6" t="str">
        <f aca="false">IF(A20=A19,(C20-C19)/C19,"")</f>
        <v/>
      </c>
      <c r="H20" s="7" t="str">
        <f aca="false">IF(A20=A19,E20-E19,"")</f>
        <v/>
      </c>
      <c r="I20" s="2" t="str">
        <f aca="false">IF(AND(ISNUMBER(G20),G20&lt;=-0.1,ISNUMBER(H20),H20&gt;=5),"Падение дебита и рост обв.",IF(AND(ISNUMBER(G20),G20&lt;=-0.1),"Падение дебита",IF(AND(ISNUMBER(H20),H20&gt;=5),"Рост обводнённости","")))</f>
        <v/>
      </c>
    </row>
    <row r="21" customFormat="false" ht="15" hidden="false" customHeight="false" outlineLevel="0" collapsed="false">
      <c r="A21" s="2" t="s">
        <v>18</v>
      </c>
      <c r="B21" s="3" t="s">
        <v>11</v>
      </c>
      <c r="C21" s="4" t="n">
        <v>15.2</v>
      </c>
      <c r="D21" s="4" t="n">
        <v>25.8</v>
      </c>
      <c r="E21" s="4" t="n">
        <v>41</v>
      </c>
      <c r="F21" s="5" t="n">
        <v>889</v>
      </c>
      <c r="G21" s="6" t="n">
        <f aca="false">IF(A21=A20,(C21-C20)/C20,"")</f>
        <v>0.0133333333333333</v>
      </c>
      <c r="H21" s="7" t="n">
        <f aca="false">IF(A21=A20,E21-E20,"")</f>
        <v>1</v>
      </c>
      <c r="I21" s="2" t="str">
        <f aca="false">IF(AND(ISNUMBER(G21),G21&lt;=-0.1,ISNUMBER(H21),H21&gt;=5),"Падение дебита и рост обв.",IF(AND(ISNUMBER(G21),G21&lt;=-0.1),"Падение дебита",IF(AND(ISNUMBER(H21),H21&gt;=5),"Рост обводнённости","")))</f>
        <v/>
      </c>
    </row>
    <row r="22" customFormat="false" ht="15" hidden="false" customHeight="false" outlineLevel="0" collapsed="false">
      <c r="A22" s="2" t="s">
        <v>18</v>
      </c>
      <c r="B22" s="3" t="s">
        <v>12</v>
      </c>
      <c r="C22" s="4" t="n">
        <v>14.9</v>
      </c>
      <c r="D22" s="4" t="n">
        <v>24.4</v>
      </c>
      <c r="E22" s="4" t="n">
        <v>39</v>
      </c>
      <c r="F22" s="5" t="n">
        <v>891</v>
      </c>
      <c r="G22" s="6" t="n">
        <f aca="false">IF(A22=A21,(C22-C21)/C21,"")</f>
        <v>-0.0197368421052631</v>
      </c>
      <c r="H22" s="7" t="n">
        <f aca="false">IF(A22=A21,E22-E21,"")</f>
        <v>-2</v>
      </c>
      <c r="I22" s="2" t="str">
        <f aca="false">IF(AND(ISNUMBER(G22),G22&lt;=-0.1,ISNUMBER(H22),H22&gt;=5),"Падение дебита и рост обв.",IF(AND(ISNUMBER(G22),G22&lt;=-0.1),"Падение дебита",IF(AND(ISNUMBER(H22),H22&gt;=5),"Рост обводнённости","")))</f>
        <v/>
      </c>
    </row>
    <row r="23" customFormat="false" ht="15" hidden="false" customHeight="false" outlineLevel="0" collapsed="false">
      <c r="A23" s="2" t="s">
        <v>18</v>
      </c>
      <c r="B23" s="3" t="s">
        <v>13</v>
      </c>
      <c r="C23" s="4" t="n">
        <v>15.1</v>
      </c>
      <c r="D23" s="4" t="n">
        <v>25.2</v>
      </c>
      <c r="E23" s="4" t="n">
        <v>40</v>
      </c>
      <c r="F23" s="5" t="n">
        <v>888</v>
      </c>
      <c r="G23" s="6" t="n">
        <f aca="false">IF(A23=A22,(C23-C22)/C22,"")</f>
        <v>0.0134228187919463</v>
      </c>
      <c r="H23" s="7" t="n">
        <f aca="false">IF(A23=A22,E23-E22,"")</f>
        <v>1</v>
      </c>
      <c r="I23" s="2" t="str">
        <f aca="false">IF(AND(ISNUMBER(G23),G23&lt;=-0.1,ISNUMBER(H23),H23&gt;=5),"Падение дебита и рост обв.",IF(AND(ISNUMBER(G23),G23&lt;=-0.1),"Падение дебита",IF(AND(ISNUMBER(H23),H23&gt;=5),"Рост обводнённости","")))</f>
        <v/>
      </c>
    </row>
    <row r="24" customFormat="false" ht="15" hidden="false" customHeight="false" outlineLevel="0" collapsed="false">
      <c r="A24" s="2" t="s">
        <v>18</v>
      </c>
      <c r="B24" s="3" t="s">
        <v>14</v>
      </c>
      <c r="C24" s="4" t="n">
        <v>15</v>
      </c>
      <c r="D24" s="4" t="n">
        <v>25.4</v>
      </c>
      <c r="E24" s="4" t="n">
        <v>41</v>
      </c>
      <c r="F24" s="5" t="n">
        <v>890</v>
      </c>
      <c r="G24" s="6" t="n">
        <f aca="false">IF(A24=A23,(C24-C23)/C23,"")</f>
        <v>-0.00662251655629137</v>
      </c>
      <c r="H24" s="7" t="n">
        <f aca="false">IF(A24=A23,E24-E23,"")</f>
        <v>1</v>
      </c>
      <c r="I24" s="2" t="str">
        <f aca="false">IF(AND(ISNUMBER(G24),G24&lt;=-0.1,ISNUMBER(H24),H24&gt;=5),"Падение дебита и рост обв.",IF(AND(ISNUMBER(G24),G24&lt;=-0.1),"Падение дебита",IF(AND(ISNUMBER(H24),H24&gt;=5),"Рост обводнённости","")))</f>
        <v/>
      </c>
    </row>
    <row r="25" customFormat="false" ht="15" hidden="false" customHeight="false" outlineLevel="0" collapsed="false">
      <c r="A25" s="2" t="s">
        <v>18</v>
      </c>
      <c r="B25" s="3" t="s">
        <v>15</v>
      </c>
      <c r="C25" s="4" t="n">
        <v>14.8</v>
      </c>
      <c r="D25" s="4" t="n">
        <v>24.7</v>
      </c>
      <c r="E25" s="4" t="n">
        <v>40</v>
      </c>
      <c r="F25" s="5" t="n">
        <v>889</v>
      </c>
      <c r="G25" s="6" t="n">
        <f aca="false">IF(A25=A24,(C25-C24)/C24,"")</f>
        <v>-0.0133333333333333</v>
      </c>
      <c r="H25" s="7" t="n">
        <f aca="false">IF(A25=A24,E25-E24,"")</f>
        <v>-1</v>
      </c>
      <c r="I25" s="2" t="str">
        <f aca="false">IF(AND(ISNUMBER(G25),G25&lt;=-0.1,ISNUMBER(H25),H25&gt;=5),"Падение дебита и рост обв.",IF(AND(ISNUMBER(G25),G25&lt;=-0.1),"Падение дебита",IF(AND(ISNUMBER(H25),H25&gt;=5),"Рост обводнённости","")))</f>
        <v/>
      </c>
    </row>
    <row r="26" customFormat="false" ht="15" hidden="false" customHeight="false" outlineLevel="0" collapsed="false">
      <c r="A26" s="2" t="s">
        <v>19</v>
      </c>
      <c r="B26" s="3" t="s">
        <v>10</v>
      </c>
      <c r="C26" s="4" t="n">
        <v>10</v>
      </c>
      <c r="D26" s="4" t="n">
        <v>22.2</v>
      </c>
      <c r="E26" s="4" t="n">
        <v>55</v>
      </c>
      <c r="F26" s="5" t="n">
        <v>870</v>
      </c>
      <c r="G26" s="6" t="str">
        <f aca="false">IF(A26=A25,(C26-C25)/C25,"")</f>
        <v/>
      </c>
      <c r="H26" s="7" t="str">
        <f aca="false">IF(A26=A25,E26-E25,"")</f>
        <v/>
      </c>
      <c r="I26" s="2" t="str">
        <f aca="false">IF(AND(ISNUMBER(G26),G26&lt;=-0.1,ISNUMBER(H26),H26&gt;=5),"Падение дебита и рост обв.",IF(AND(ISNUMBER(G26),G26&lt;=-0.1),"Падение дебита",IF(AND(ISNUMBER(H26),H26&gt;=5),"Рост обводнённости","")))</f>
        <v/>
      </c>
    </row>
    <row r="27" customFormat="false" ht="15" hidden="false" customHeight="false" outlineLevel="0" collapsed="false">
      <c r="A27" s="2" t="s">
        <v>19</v>
      </c>
      <c r="B27" s="3" t="s">
        <v>11</v>
      </c>
      <c r="C27" s="4" t="n">
        <v>11</v>
      </c>
      <c r="D27" s="4" t="n">
        <v>22.9</v>
      </c>
      <c r="E27" s="4" t="n">
        <v>52</v>
      </c>
      <c r="F27" s="5" t="n">
        <v>871</v>
      </c>
      <c r="G27" s="6" t="n">
        <f aca="false">IF(A27=A26,(C27-C26)/C26,"")</f>
        <v>0.1</v>
      </c>
      <c r="H27" s="7" t="n">
        <f aca="false">IF(A27=A26,E27-E26,"")</f>
        <v>-3</v>
      </c>
      <c r="I27" s="2" t="str">
        <f aca="false">IF(AND(ISNUMBER(G27),G27&lt;=-0.1,ISNUMBER(H27),H27&gt;=5),"Падение дебита и рост обв.",IF(AND(ISNUMBER(G27),G27&lt;=-0.1),"Падение дебита",IF(AND(ISNUMBER(H27),H27&gt;=5),"Рост обводнённости","")))</f>
        <v/>
      </c>
    </row>
    <row r="28" customFormat="false" ht="15" hidden="false" customHeight="false" outlineLevel="0" collapsed="false">
      <c r="A28" s="2" t="s">
        <v>19</v>
      </c>
      <c r="B28" s="3" t="s">
        <v>12</v>
      </c>
      <c r="C28" s="4" t="n">
        <v>13</v>
      </c>
      <c r="D28" s="4" t="n">
        <v>25</v>
      </c>
      <c r="E28" s="4" t="n">
        <v>48</v>
      </c>
      <c r="F28" s="5" t="n">
        <v>869</v>
      </c>
      <c r="G28" s="6" t="n">
        <f aca="false">IF(A28=A27,(C28-C27)/C27,"")</f>
        <v>0.181818181818182</v>
      </c>
      <c r="H28" s="7" t="n">
        <f aca="false">IF(A28=A27,E28-E27,"")</f>
        <v>-4</v>
      </c>
      <c r="I28" s="2" t="str">
        <f aca="false">IF(AND(ISNUMBER(G28),G28&lt;=-0.1,ISNUMBER(H28),H28&gt;=5),"Падение дебита и рост обв.",IF(AND(ISNUMBER(G28),G28&lt;=-0.1),"Падение дебита",IF(AND(ISNUMBER(H28),H28&gt;=5),"Рост обводнённости","")))</f>
        <v/>
      </c>
    </row>
    <row r="29" customFormat="false" ht="15" hidden="false" customHeight="false" outlineLevel="0" collapsed="false">
      <c r="A29" s="2" t="s">
        <v>19</v>
      </c>
      <c r="B29" s="3" t="s">
        <v>13</v>
      </c>
      <c r="C29" s="4" t="n">
        <v>14</v>
      </c>
      <c r="D29" s="4" t="n">
        <v>25.5</v>
      </c>
      <c r="E29" s="4" t="n">
        <v>45</v>
      </c>
      <c r="F29" s="5" t="n">
        <v>872</v>
      </c>
      <c r="G29" s="6" t="n">
        <f aca="false">IF(A29=A28,(C29-C28)/C28,"")</f>
        <v>0.0769230769230769</v>
      </c>
      <c r="H29" s="7" t="n">
        <f aca="false">IF(A29=A28,E29-E28,"")</f>
        <v>-3</v>
      </c>
      <c r="I29" s="2" t="str">
        <f aca="false">IF(AND(ISNUMBER(G29),G29&lt;=-0.1,ISNUMBER(H29),H29&gt;=5),"Падение дебита и рост обв.",IF(AND(ISNUMBER(G29),G29&lt;=-0.1),"Падение дебита",IF(AND(ISNUMBER(H29),H29&gt;=5),"Рост обводнённости","")))</f>
        <v/>
      </c>
    </row>
    <row r="30" customFormat="false" ht="15" hidden="false" customHeight="false" outlineLevel="0" collapsed="false">
      <c r="A30" s="2" t="s">
        <v>19</v>
      </c>
      <c r="B30" s="3" t="s">
        <v>14</v>
      </c>
      <c r="C30" s="4" t="n">
        <v>16</v>
      </c>
      <c r="D30" s="4" t="n">
        <v>27.6</v>
      </c>
      <c r="E30" s="4" t="n">
        <v>42</v>
      </c>
      <c r="F30" s="5" t="n">
        <v>873</v>
      </c>
      <c r="G30" s="6" t="n">
        <f aca="false">IF(A30=A29,(C30-C29)/C29,"")</f>
        <v>0.142857142857143</v>
      </c>
      <c r="H30" s="7" t="n">
        <f aca="false">IF(A30=A29,E30-E29,"")</f>
        <v>-3</v>
      </c>
      <c r="I30" s="2" t="str">
        <f aca="false">IF(AND(ISNUMBER(G30),G30&lt;=-0.1,ISNUMBER(H30),H30&gt;=5),"Падение дебита и рост обв.",IF(AND(ISNUMBER(G30),G30&lt;=-0.1),"Падение дебита",IF(AND(ISNUMBER(H30),H30&gt;=5),"Рост обводнённости","")))</f>
        <v/>
      </c>
    </row>
    <row r="31" customFormat="false" ht="15" hidden="false" customHeight="false" outlineLevel="0" collapsed="false">
      <c r="A31" s="2" t="s">
        <v>19</v>
      </c>
      <c r="B31" s="3" t="s">
        <v>15</v>
      </c>
      <c r="C31" s="4" t="n">
        <v>17</v>
      </c>
      <c r="D31" s="4" t="n">
        <v>28.3</v>
      </c>
      <c r="E31" s="4" t="n">
        <v>40</v>
      </c>
      <c r="F31" s="5" t="n">
        <v>874</v>
      </c>
      <c r="G31" s="6" t="n">
        <f aca="false">IF(A31=A30,(C31-C30)/C30,"")</f>
        <v>0.0625</v>
      </c>
      <c r="H31" s="7" t="n">
        <f aca="false">IF(A31=A30,E31-E30,"")</f>
        <v>-2</v>
      </c>
      <c r="I31" s="2" t="str">
        <f aca="false">IF(AND(ISNUMBER(G31),G31&lt;=-0.1,ISNUMBER(H31),H31&gt;=5),"Падение дебита и рост обв.",IF(AND(ISNUMBER(G31),G31&lt;=-0.1),"Падение дебита",IF(AND(ISNUMBER(H31),H31&gt;=5),"Рост обводнённости","")))</f>
        <v/>
      </c>
    </row>
  </sheetData>
  <conditionalFormatting sqref="I2:I31">
    <cfRule type="expression" priority="2" aboveAverage="0" equalAverage="0" bottom="0" percent="0" rank="0" text="" dxfId="0">
      <formula>$I2&lt;&gt;""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22"/>
    <col collapsed="false" customWidth="true" hidden="false" outlineLevel="0" max="3" min="3" style="0" width="24"/>
    <col collapsed="false" customWidth="true" hidden="false" outlineLevel="0" max="4" min="4" style="0" width="14"/>
    <col collapsed="false" customWidth="true" hidden="false" outlineLevel="0" max="5" min="5" style="0" width="22"/>
    <col collapsed="false" customWidth="true" hidden="false" outlineLevel="0" max="6" min="6" style="0" width="24"/>
    <col collapsed="false" customWidth="true" hidden="false" outlineLevel="0" max="7" min="7" style="0" width="14"/>
    <col collapsed="false" customWidth="true" hidden="false" outlineLevel="0" max="8" min="8" style="0" width="24"/>
  </cols>
  <sheetData>
    <row r="1" customFormat="false" ht="16.15" hidden="false" customHeight="false" outlineLevel="0" collapsed="false">
      <c r="A1" s="8" t="s">
        <v>20</v>
      </c>
    </row>
    <row r="3" customFormat="false" ht="15" hidden="false" customHeight="false" outlineLevel="0" collapsed="false">
      <c r="A3" s="1" t="s">
        <v>21</v>
      </c>
      <c r="B3" s="1" t="s">
        <v>9</v>
      </c>
      <c r="C3" s="1" t="s">
        <v>16</v>
      </c>
      <c r="D3" s="1" t="s">
        <v>17</v>
      </c>
      <c r="E3" s="1" t="s">
        <v>18</v>
      </c>
      <c r="F3" s="1" t="s">
        <v>19</v>
      </c>
    </row>
    <row r="4" customFormat="false" ht="15" hidden="false" customHeight="false" outlineLevel="0" collapsed="false">
      <c r="A4" s="9" t="str">
        <f aca="false">'Журнал замеров'!B2</f>
        <v>01.06.2026</v>
      </c>
      <c r="B4" s="10" t="n">
        <f aca="false">'Журнал замеров'!C2</f>
        <v>20</v>
      </c>
      <c r="C4" s="10" t="n">
        <f aca="false">'Журнал замеров'!C8</f>
        <v>18</v>
      </c>
      <c r="D4" s="10" t="n">
        <f aca="false">'Журнал замеров'!C14</f>
        <v>25</v>
      </c>
      <c r="E4" s="10" t="n">
        <f aca="false">'Журнал замеров'!C20</f>
        <v>15</v>
      </c>
      <c r="F4" s="10" t="n">
        <f aca="false">'Журнал замеров'!C26</f>
        <v>10</v>
      </c>
    </row>
    <row r="5" customFormat="false" ht="15" hidden="false" customHeight="false" outlineLevel="0" collapsed="false">
      <c r="A5" s="9" t="str">
        <f aca="false">'Журнал замеров'!B3</f>
        <v>04.06.2026</v>
      </c>
      <c r="B5" s="10" t="n">
        <f aca="false">'Журнал замеров'!C3</f>
        <v>19.8</v>
      </c>
      <c r="C5" s="10" t="n">
        <f aca="false">'Журнал замеров'!C9</f>
        <v>16</v>
      </c>
      <c r="D5" s="10" t="n">
        <f aca="false">'Журнал замеров'!C15</f>
        <v>24</v>
      </c>
      <c r="E5" s="10" t="n">
        <f aca="false">'Журнал замеров'!C21</f>
        <v>15.2</v>
      </c>
      <c r="F5" s="10" t="n">
        <f aca="false">'Журнал замеров'!C27</f>
        <v>11</v>
      </c>
    </row>
    <row r="6" customFormat="false" ht="15" hidden="false" customHeight="false" outlineLevel="0" collapsed="false">
      <c r="A6" s="9" t="str">
        <f aca="false">'Журнал замеров'!B4</f>
        <v>07.06.2026</v>
      </c>
      <c r="B6" s="10" t="n">
        <f aca="false">'Журнал замеров'!C4</f>
        <v>20.1</v>
      </c>
      <c r="C6" s="10" t="n">
        <f aca="false">'Журнал замеров'!C10</f>
        <v>14</v>
      </c>
      <c r="D6" s="10" t="n">
        <f aca="false">'Журнал замеров'!C16</f>
        <v>22</v>
      </c>
      <c r="E6" s="10" t="n">
        <f aca="false">'Журнал замеров'!C22</f>
        <v>14.9</v>
      </c>
      <c r="F6" s="10" t="n">
        <f aca="false">'Журнал замеров'!C28</f>
        <v>13</v>
      </c>
    </row>
    <row r="7" customFormat="false" ht="15" hidden="false" customHeight="false" outlineLevel="0" collapsed="false">
      <c r="A7" s="9" t="str">
        <f aca="false">'Журнал замеров'!B5</f>
        <v>10.06.2026</v>
      </c>
      <c r="B7" s="10" t="n">
        <f aca="false">'Журнал замеров'!C5</f>
        <v>19.5</v>
      </c>
      <c r="C7" s="10" t="n">
        <f aca="false">'Журнал замеров'!C11</f>
        <v>12</v>
      </c>
      <c r="D7" s="10" t="n">
        <f aca="false">'Журнал замеров'!C17</f>
        <v>18</v>
      </c>
      <c r="E7" s="10" t="n">
        <f aca="false">'Журнал замеров'!C23</f>
        <v>15.1</v>
      </c>
      <c r="F7" s="10" t="n">
        <f aca="false">'Журнал замеров'!C29</f>
        <v>14</v>
      </c>
    </row>
    <row r="8" customFormat="false" ht="15" hidden="false" customHeight="false" outlineLevel="0" collapsed="false">
      <c r="A8" s="9" t="str">
        <f aca="false">'Журнал замеров'!B6</f>
        <v>13.06.2026</v>
      </c>
      <c r="B8" s="10" t="n">
        <f aca="false">'Журнал замеров'!C6</f>
        <v>19.7</v>
      </c>
      <c r="C8" s="10" t="n">
        <f aca="false">'Журнал замеров'!C12</f>
        <v>11</v>
      </c>
      <c r="D8" s="10" t="n">
        <f aca="false">'Журнал замеров'!C18</f>
        <v>15</v>
      </c>
      <c r="E8" s="10" t="n">
        <f aca="false">'Журнал замеров'!C24</f>
        <v>15</v>
      </c>
      <c r="F8" s="10" t="n">
        <f aca="false">'Журнал замеров'!C30</f>
        <v>16</v>
      </c>
    </row>
    <row r="9" customFormat="false" ht="15" hidden="false" customHeight="false" outlineLevel="0" collapsed="false">
      <c r="A9" s="9" t="str">
        <f aca="false">'Журнал замеров'!B7</f>
        <v>16.06.2026</v>
      </c>
      <c r="B9" s="10" t="n">
        <f aca="false">'Журнал замеров'!C7</f>
        <v>19.6</v>
      </c>
      <c r="C9" s="10" t="n">
        <f aca="false">'Журнал замеров'!C13</f>
        <v>9</v>
      </c>
      <c r="D9" s="10" t="n">
        <f aca="false">'Журнал замеров'!C19</f>
        <v>12</v>
      </c>
      <c r="E9" s="10" t="n">
        <f aca="false">'Журнал замеров'!C25</f>
        <v>14.8</v>
      </c>
      <c r="F9" s="10" t="n">
        <f aca="false">'Журнал замеров'!C31</f>
        <v>17</v>
      </c>
    </row>
    <row r="12" customFormat="false" ht="15" hidden="false" customHeight="false" outlineLevel="0" collapsed="false">
      <c r="A12" s="1" t="s">
        <v>21</v>
      </c>
      <c r="B12" s="1" t="s">
        <v>9</v>
      </c>
      <c r="C12" s="1" t="s">
        <v>16</v>
      </c>
      <c r="D12" s="1" t="s">
        <v>17</v>
      </c>
      <c r="E12" s="1" t="s">
        <v>18</v>
      </c>
      <c r="F12" s="1" t="s">
        <v>19</v>
      </c>
    </row>
    <row r="13" customFormat="false" ht="15" hidden="false" customHeight="false" outlineLevel="0" collapsed="false">
      <c r="A13" s="9" t="str">
        <f aca="false">'Журнал замеров'!B2</f>
        <v>01.06.2026</v>
      </c>
      <c r="B13" s="10" t="n">
        <f aca="false">'Журнал замеров'!E2</f>
        <v>30</v>
      </c>
      <c r="C13" s="10" t="n">
        <f aca="false">'Журнал замеров'!E8</f>
        <v>25</v>
      </c>
      <c r="D13" s="10" t="n">
        <f aca="false">'Журнал замеров'!E14</f>
        <v>20</v>
      </c>
      <c r="E13" s="10" t="n">
        <f aca="false">'Журнал замеров'!E20</f>
        <v>40</v>
      </c>
      <c r="F13" s="10" t="n">
        <f aca="false">'Журнал замеров'!E26</f>
        <v>55</v>
      </c>
    </row>
    <row r="14" customFormat="false" ht="15" hidden="false" customHeight="false" outlineLevel="0" collapsed="false">
      <c r="A14" s="9" t="str">
        <f aca="false">'Журнал замеров'!B3</f>
        <v>04.06.2026</v>
      </c>
      <c r="B14" s="10" t="n">
        <f aca="false">'Журнал замеров'!E3</f>
        <v>31</v>
      </c>
      <c r="C14" s="10" t="n">
        <f aca="false">'Журнал замеров'!E9</f>
        <v>26</v>
      </c>
      <c r="D14" s="10" t="n">
        <f aca="false">'Журнал замеров'!E15</f>
        <v>28</v>
      </c>
      <c r="E14" s="10" t="n">
        <f aca="false">'Журнал замеров'!E21</f>
        <v>41</v>
      </c>
      <c r="F14" s="10" t="n">
        <f aca="false">'Журнал замеров'!E27</f>
        <v>52</v>
      </c>
    </row>
    <row r="15" customFormat="false" ht="15" hidden="false" customHeight="false" outlineLevel="0" collapsed="false">
      <c r="A15" s="9" t="str">
        <f aca="false">'Журнал замеров'!B4</f>
        <v>07.06.2026</v>
      </c>
      <c r="B15" s="10" t="n">
        <f aca="false">'Журнал замеров'!E4</f>
        <v>30</v>
      </c>
      <c r="C15" s="10" t="n">
        <f aca="false">'Журнал замеров'!E10</f>
        <v>28</v>
      </c>
      <c r="D15" s="10" t="n">
        <f aca="false">'Журнал замеров'!E16</f>
        <v>38</v>
      </c>
      <c r="E15" s="10" t="n">
        <f aca="false">'Журнал замеров'!E22</f>
        <v>39</v>
      </c>
      <c r="F15" s="10" t="n">
        <f aca="false">'Журнал замеров'!E28</f>
        <v>48</v>
      </c>
    </row>
    <row r="16" customFormat="false" ht="15" hidden="false" customHeight="false" outlineLevel="0" collapsed="false">
      <c r="A16" s="9" t="str">
        <f aca="false">'Журнал замеров'!B5</f>
        <v>10.06.2026</v>
      </c>
      <c r="B16" s="10" t="n">
        <f aca="false">'Журнал замеров'!E5</f>
        <v>29</v>
      </c>
      <c r="C16" s="10" t="n">
        <f aca="false">'Журнал замеров'!E11</f>
        <v>29</v>
      </c>
      <c r="D16" s="10" t="n">
        <f aca="false">'Журнал замеров'!E17</f>
        <v>50</v>
      </c>
      <c r="E16" s="10" t="n">
        <f aca="false">'Журнал замеров'!E23</f>
        <v>40</v>
      </c>
      <c r="F16" s="10" t="n">
        <f aca="false">'Журнал замеров'!E29</f>
        <v>45</v>
      </c>
    </row>
    <row r="17" customFormat="false" ht="15" hidden="false" customHeight="false" outlineLevel="0" collapsed="false">
      <c r="A17" s="9" t="str">
        <f aca="false">'Журнал замеров'!B6</f>
        <v>13.06.2026</v>
      </c>
      <c r="B17" s="10" t="n">
        <f aca="false">'Журнал замеров'!E6</f>
        <v>31</v>
      </c>
      <c r="C17" s="10" t="n">
        <f aca="false">'Журнал замеров'!E12</f>
        <v>31</v>
      </c>
      <c r="D17" s="10" t="n">
        <f aca="false">'Журнал замеров'!E18</f>
        <v>60</v>
      </c>
      <c r="E17" s="10" t="n">
        <f aca="false">'Журнал замеров'!E24</f>
        <v>41</v>
      </c>
      <c r="F17" s="10" t="n">
        <f aca="false">'Журнал замеров'!E30</f>
        <v>42</v>
      </c>
    </row>
    <row r="18" customFormat="false" ht="15" hidden="false" customHeight="false" outlineLevel="0" collapsed="false">
      <c r="A18" s="9" t="str">
        <f aca="false">'Журнал замеров'!B7</f>
        <v>16.06.2026</v>
      </c>
      <c r="B18" s="10" t="n">
        <f aca="false">'Журнал замеров'!E7</f>
        <v>30</v>
      </c>
      <c r="C18" s="10" t="n">
        <f aca="false">'Журнал замеров'!E13</f>
        <v>33</v>
      </c>
      <c r="D18" s="10" t="n">
        <f aca="false">'Журнал замеров'!E19</f>
        <v>69</v>
      </c>
      <c r="E18" s="10" t="n">
        <f aca="false">'Журнал замеров'!E25</f>
        <v>40</v>
      </c>
      <c r="F18" s="10" t="n">
        <f aca="false">'Журнал замеров'!E31</f>
        <v>40</v>
      </c>
    </row>
    <row r="21" customFormat="false" ht="15" hidden="false" customHeight="false" outlineLevel="0" collapsed="false">
      <c r="A21" s="1" t="s">
        <v>0</v>
      </c>
      <c r="B21" s="1" t="s">
        <v>22</v>
      </c>
      <c r="C21" s="1" t="s">
        <v>23</v>
      </c>
      <c r="D21" s="1" t="s">
        <v>24</v>
      </c>
      <c r="E21" s="1" t="s">
        <v>25</v>
      </c>
      <c r="F21" s="1" t="s">
        <v>26</v>
      </c>
      <c r="G21" s="1" t="s">
        <v>27</v>
      </c>
      <c r="H21" s="1" t="s">
        <v>28</v>
      </c>
    </row>
    <row r="22" customFormat="false" ht="15" hidden="false" customHeight="false" outlineLevel="0" collapsed="false">
      <c r="A22" s="2" t="s">
        <v>9</v>
      </c>
      <c r="B22" s="10" t="n">
        <f aca="false">'Журнал замеров'!C2</f>
        <v>20</v>
      </c>
      <c r="C22" s="10" t="n">
        <f aca="false">'Журнал замеров'!C7</f>
        <v>19.6</v>
      </c>
      <c r="D22" s="6" t="n">
        <f aca="false">(C22-B22)/B22</f>
        <v>-0.0199999999999999</v>
      </c>
      <c r="E22" s="10" t="n">
        <f aca="false">'Журнал замеров'!E2</f>
        <v>30</v>
      </c>
      <c r="F22" s="10" t="n">
        <f aca="false">'Журнал замеров'!E7</f>
        <v>30</v>
      </c>
      <c r="G22" s="7" t="n">
        <f aca="false">F22-E22</f>
        <v>0</v>
      </c>
      <c r="H22" s="2" t="str">
        <f aca="false">IF(AND(D22&lt;=-0.1,G22&gt;=5),"Внимание: падение + вода",IF(D22&lt;=-0.1,"Падение дебита",IF(G22&gt;=5,"Рост обводнённости","Стабильно")))</f>
        <v>Стабильно</v>
      </c>
    </row>
    <row r="23" customFormat="false" ht="15" hidden="false" customHeight="false" outlineLevel="0" collapsed="false">
      <c r="A23" s="2" t="s">
        <v>16</v>
      </c>
      <c r="B23" s="10" t="n">
        <f aca="false">'Журнал замеров'!C8</f>
        <v>18</v>
      </c>
      <c r="C23" s="10" t="n">
        <f aca="false">'Журнал замеров'!C13</f>
        <v>9</v>
      </c>
      <c r="D23" s="6" t="n">
        <f aca="false">(C23-B23)/B23</f>
        <v>-0.5</v>
      </c>
      <c r="E23" s="10" t="n">
        <f aca="false">'Журнал замеров'!E8</f>
        <v>25</v>
      </c>
      <c r="F23" s="10" t="n">
        <f aca="false">'Журнал замеров'!E13</f>
        <v>33</v>
      </c>
      <c r="G23" s="7" t="n">
        <f aca="false">F23-E23</f>
        <v>8</v>
      </c>
      <c r="H23" s="2" t="str">
        <f aca="false">IF(AND(D23&lt;=-0.1,G23&gt;=5),"Внимание: падение + вода",IF(D23&lt;=-0.1,"Падение дебита",IF(G23&gt;=5,"Рост обводнённости","Стабильно")))</f>
        <v>Внимание: падение + вода</v>
      </c>
    </row>
    <row r="24" customFormat="false" ht="15" hidden="false" customHeight="false" outlineLevel="0" collapsed="false">
      <c r="A24" s="2" t="s">
        <v>17</v>
      </c>
      <c r="B24" s="10" t="n">
        <f aca="false">'Журнал замеров'!C14</f>
        <v>25</v>
      </c>
      <c r="C24" s="10" t="n">
        <f aca="false">'Журнал замеров'!C19</f>
        <v>12</v>
      </c>
      <c r="D24" s="6" t="n">
        <f aca="false">(C24-B24)/B24</f>
        <v>-0.52</v>
      </c>
      <c r="E24" s="10" t="n">
        <f aca="false">'Журнал замеров'!E14</f>
        <v>20</v>
      </c>
      <c r="F24" s="10" t="n">
        <f aca="false">'Журнал замеров'!E19</f>
        <v>69</v>
      </c>
      <c r="G24" s="7" t="n">
        <f aca="false">F24-E24</f>
        <v>49</v>
      </c>
      <c r="H24" s="2" t="str">
        <f aca="false">IF(AND(D24&lt;=-0.1,G24&gt;=5),"Внимание: падение + вода",IF(D24&lt;=-0.1,"Падение дебита",IF(G24&gt;=5,"Рост обводнённости","Стабильно")))</f>
        <v>Внимание: падение + вода</v>
      </c>
    </row>
    <row r="25" customFormat="false" ht="15" hidden="false" customHeight="false" outlineLevel="0" collapsed="false">
      <c r="A25" s="2" t="s">
        <v>18</v>
      </c>
      <c r="B25" s="10" t="n">
        <f aca="false">'Журнал замеров'!C20</f>
        <v>15</v>
      </c>
      <c r="C25" s="10" t="n">
        <f aca="false">'Журнал замеров'!C25</f>
        <v>14.8</v>
      </c>
      <c r="D25" s="6" t="n">
        <f aca="false">(C25-B25)/B25</f>
        <v>-0.0133333333333333</v>
      </c>
      <c r="E25" s="10" t="n">
        <f aca="false">'Журнал замеров'!E20</f>
        <v>40</v>
      </c>
      <c r="F25" s="10" t="n">
        <f aca="false">'Журнал замеров'!E25</f>
        <v>40</v>
      </c>
      <c r="G25" s="7" t="n">
        <f aca="false">F25-E25</f>
        <v>0</v>
      </c>
      <c r="H25" s="2" t="str">
        <f aca="false">IF(AND(D25&lt;=-0.1,G25&gt;=5),"Внимание: падение + вода",IF(D25&lt;=-0.1,"Падение дебита",IF(G25&gt;=5,"Рост обводнённости","Стабильно")))</f>
        <v>Стабильно</v>
      </c>
    </row>
    <row r="26" customFormat="false" ht="15" hidden="false" customHeight="false" outlineLevel="0" collapsed="false">
      <c r="A26" s="2" t="s">
        <v>19</v>
      </c>
      <c r="B26" s="10" t="n">
        <f aca="false">'Журнал замеров'!C26</f>
        <v>10</v>
      </c>
      <c r="C26" s="10" t="n">
        <f aca="false">'Журнал замеров'!C31</f>
        <v>17</v>
      </c>
      <c r="D26" s="6" t="n">
        <f aca="false">(C26-B26)/B26</f>
        <v>0.7</v>
      </c>
      <c r="E26" s="10" t="n">
        <f aca="false">'Журнал замеров'!E26</f>
        <v>55</v>
      </c>
      <c r="F26" s="10" t="n">
        <f aca="false">'Журнал замеров'!E31</f>
        <v>40</v>
      </c>
      <c r="G26" s="7" t="n">
        <f aca="false">F26-E26</f>
        <v>-15</v>
      </c>
      <c r="H26" s="2" t="str">
        <f aca="false">IF(AND(D26&lt;=-0.1,G26&gt;=5),"Внимание: падение + вода",IF(D26&lt;=-0.1,"Падение дебита",IF(G26&gt;=5,"Рост обводнённости","Стабильно")))</f>
        <v>Стабильно</v>
      </c>
    </row>
  </sheetData>
  <conditionalFormatting sqref="H22:H26">
    <cfRule type="expression" priority="2" aboveAverage="0" equalAverage="0" bottom="0" percent="0" rank="0" text="" dxfId="0">
      <formula>$H22&lt;&gt;"Стабильно"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2026-06-18T11:55:01Z</dcterms:created>
  <dc:creator>openpyxl</dc:creator>
  <dc:description/>
  <dc:language>en-US</dc:language>
  <cp:lastModifiedBy/>
  <dcterms:modified xsi:type="dcterms:W3CDTF">2026-06-18T12:18:38Z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