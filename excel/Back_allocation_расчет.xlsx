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 allo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<sst xmlns="http://schemas.openxmlformats.org/spreadsheetml/2006/main" count="22" uniqueCount="22">
  <si>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Расчёт back allocation — распределение добычи по скважинам</t>
  </si>
  <si>
    <t xml:space="preserve">Фактическая сдача за период, т (с узла учёта)</t>
  </si>
  <si>
    <t xml:space="preserve">Длительность периода, час</t>
  </si>
  <si>
    <t xml:space="preserve">Порог устаревания теста, дней</t>
  </si>
  <si>
    <t xml:space="preserve">Источник данных: AvQmOil (дебит по тесту АГЗУ), DTL_TIME_IN_WORK (время в работе)</t>
  </si>
  <si>
    <t xml:space="preserve">Скважина</t>
  </si>
  <si>
    <t xml:space="preserve">Дебит по тесту, т/сут</t>
  </si>
  <si>
    <t xml:space="preserve">Время в работе, час</t>
  </si>
  <si>
    <t xml:space="preserve">Возраст теста, дн</t>
  </si>
  <si>
    <t xml:space="preserve">Доля времени в работе</t>
  </si>
  <si>
    <t xml:space="preserve">Скорректир. дебит, т/сут</t>
  </si>
  <si>
    <t xml:space="preserve">Тест устарел?</t>
  </si>
  <si>
    <t xml:space="preserve">Распределённая добыча, т</t>
  </si>
  <si>
    <t xml:space="preserve">СХ-23</t>
  </si>
  <si>
    <t xml:space="preserve">СХ-30</t>
  </si>
  <si>
    <t xml:space="preserve">СХ-15</t>
  </si>
  <si>
    <t xml:space="preserve">СХ-16</t>
  </si>
  <si>
    <t xml:space="preserve">Итого</t>
  </si>
  <si>
    <t xml:space="preserve">Проверка: сумма распределённой добычи = факт сдачи?</t>
  </si>
  <si>
    <t xml:space="preserve">Скорректированный дебит = дебит по тесту × доля времени в работе.</t>
  </si>
  <si>
    <t xml:space="preserve">Распределённая добыча = скорректированный дебит / сумма скорректированных × фактическая сдача.</t>
  </si>
  <si>
    <t xml:space="preserve">Скважины с пометкой "Да" в столбце "Тест устарел?" — тест нужно обновить, доля менее надёжна.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</si>
</sst>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20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C3" s="2" t="n">
        <v>66</v>
      </c>
    </row>
    <row r="4" customFormat="false" ht="15" hidden="false" customHeight="false" outlineLevel="0" collapsed="false">
      <c r="A4" s="0" t="s">
        <v>2</v>
      </c>
      <c r="C4" s="2" t="n">
        <v>24</v>
      </c>
    </row>
    <row r="5" customFormat="false" ht="15" hidden="false" customHeight="false" outlineLevel="0" collapsed="false">
      <c r="A5" s="0" t="s">
        <v>3</v>
      </c>
      <c r="C5" s="2" t="n">
        <v>7</v>
      </c>
    </row>
    <row r="6" customFormat="false" ht="1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</row>
    <row r="9" customFormat="false" ht="15" hidden="false" customHeight="false" outlineLevel="0" collapsed="false">
      <c r="A9" s="5" t="s">
        <v>13</v>
      </c>
      <c r="B9" s="6" t="n">
        <v>20</v>
      </c>
      <c r="C9" s="6" t="n">
        <v>24</v>
      </c>
      <c r="D9" s="6" t="n">
        <v>2</v>
      </c>
      <c r="E9" s="7" t="n">
        <f aca="false">C9/$C$4</f>
        <v>1</v>
      </c>
      <c r="F9" s="8" t="n">
        <f aca="false">B9*E9</f>
        <v>20</v>
      </c>
      <c r="G9" s="9" t="str">
        <f aca="false">IF(D9&gt;$C$5,"Да","Нет")</f>
        <v>Нет</v>
      </c>
      <c r="H9" s="8" t="n">
        <f aca="false">F9/$F$13*$C$3</f>
        <v>20.1526717557252</v>
      </c>
    </row>
    <row r="10" customFormat="false" ht="15" hidden="false" customHeight="false" outlineLevel="0" collapsed="false">
      <c r="A10" s="5" t="s">
        <v>14</v>
      </c>
      <c r="B10" s="6" t="n">
        <v>15</v>
      </c>
      <c r="C10" s="6" t="n">
        <v>24</v>
      </c>
      <c r="D10" s="6" t="n">
        <v>5</v>
      </c>
      <c r="E10" s="7" t="n">
        <f aca="false">C10/$C$4</f>
        <v>1</v>
      </c>
      <c r="F10" s="8" t="n">
        <f aca="false">B10*E10</f>
        <v>15</v>
      </c>
      <c r="G10" s="9" t="str">
        <f aca="false">IF(D10&gt;$C$5,"Да","Нет")</f>
        <v>Нет</v>
      </c>
      <c r="H10" s="8" t="n">
        <f aca="false">F10/$F$13*$C$3</f>
        <v>15.1145038167939</v>
      </c>
    </row>
    <row r="11" customFormat="false" ht="15" hidden="false" customHeight="false" outlineLevel="0" collapsed="false">
      <c r="A11" s="5" t="s">
        <v>15</v>
      </c>
      <c r="B11" s="6" t="n">
        <v>25</v>
      </c>
      <c r="C11" s="6" t="n">
        <v>12</v>
      </c>
      <c r="D11" s="6" t="n">
        <v>1</v>
      </c>
      <c r="E11" s="7" t="n">
        <f aca="false">C11/$C$4</f>
        <v>0.5</v>
      </c>
      <c r="F11" s="8" t="n">
        <f aca="false">B11*E11</f>
        <v>12.5</v>
      </c>
      <c r="G11" s="9" t="str">
        <f aca="false">IF(D11&gt;$C$5,"Да","Нет")</f>
        <v>Нет</v>
      </c>
      <c r="H11" s="8" t="n">
        <f aca="false">F11/$F$13*$C$3</f>
        <v>12.5954198473282</v>
      </c>
    </row>
    <row r="12" customFormat="false" ht="15" hidden="false" customHeight="false" outlineLevel="0" collapsed="false">
      <c r="A12" s="5" t="s">
        <v>16</v>
      </c>
      <c r="B12" s="6" t="n">
        <v>18</v>
      </c>
      <c r="C12" s="6" t="n">
        <v>24</v>
      </c>
      <c r="D12" s="6" t="n">
        <v>10</v>
      </c>
      <c r="E12" s="7" t="n">
        <f aca="false">C12/$C$4</f>
        <v>1</v>
      </c>
      <c r="F12" s="8" t="n">
        <f aca="false">B12*E12</f>
        <v>18</v>
      </c>
      <c r="G12" s="9" t="str">
        <f aca="false">IF(D12&gt;$C$5,"Да","Нет")</f>
        <v>Да</v>
      </c>
      <c r="H12" s="8" t="n">
        <f aca="false">F12/$F$13*$C$3</f>
        <v>18.1374045801527</v>
      </c>
    </row>
    <row r="13" customFormat="false" ht="15" hidden="false" customHeight="false" outlineLevel="0" collapsed="false">
      <c r="A13" s="10" t="s">
        <v>17</v>
      </c>
      <c r="F13" s="11" t="n">
        <f aca="false">SUM(F9:F12)</f>
        <v>65.5</v>
      </c>
      <c r="H13" s="11" t="n">
        <f aca="false">SUM(H9:H12)</f>
        <v>66</v>
      </c>
    </row>
    <row r="15" customFormat="false" ht="15" hidden="false" customHeight="false" outlineLevel="0" collapsed="false">
      <c r="A15" s="5" t="s">
        <v>18</v>
      </c>
      <c r="C15" s="10" t="str">
        <f aca="false">IF(ROUND(H13,2)=ROUND(C3,2),"OK","Ошибка")</f>
        <v>OK</v>
      </c>
    </row>
    <row r="17" customFormat="false" ht="15" hidden="false" customHeight="false" outlineLevel="0" collapsed="false">
      <c r="A17" s="3" t="s">
        <v>19</v>
      </c>
    </row>
    <row r="18" customFormat="false" ht="15" hidden="false" customHeight="false" outlineLevel="0" collapsed="false">
      <c r="A18" s="3" t="s">
        <v>20</v>
      </c>
    </row>
    <row r="19" customFormat="false" ht="15" hidden="false" customHeight="false" outlineLevel="0" collapsed="false">
      <c r="A19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2026-06-18T11:35:12Z</dcterms:created>
  <dc:creator>openpyxl</dc:creator>
  <dc:description/>
  <dc:language>en-US</dc:language>
  <cp:lastModifiedBy/>
  <dcterms:modified xsi:type="dcterms:W3CDTF">2026-06-18T11:35:12Z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